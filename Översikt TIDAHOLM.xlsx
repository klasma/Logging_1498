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46239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46239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46239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46239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46239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46239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12332-2022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44637</v>
      </c>
      <c r="E20" s="1" t="n">
        <v>46239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Kommuner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HYPERLINK("https://klasma.github.io/Logging_1498/artfynd/A 12332-2022 artfynd.xlsx", "A 12332-2022")</f>
        <v/>
      </c>
      <c r="X20">
        <f>HYPERLINK("https://klasma.github.io/Logging_1498/kartor/A 12332-2022 karta.png", "A 12332-2022")</f>
        <v/>
      </c>
      <c r="Y20">
        <f>HYPERLINK("https://klasma.github.io/Logging_1498/kartor_geotiff/A 12332-2022 georefererad karta.tif", "A 12332-2022")</f>
        <v/>
      </c>
      <c r="AA20">
        <f>HYPERLINK("https://klasma.github.io/Logging_1498/klagomål/A 12332-2022 FSC-klagomål.docx", "A 12332-2022")</f>
        <v/>
      </c>
      <c r="AB20">
        <f>HYPERLINK("https://klasma.github.io/Logging_1498/klagomålsmail/A 12332-2022 FSC-klagomål mail.docx", "A 12332-2022")</f>
        <v/>
      </c>
      <c r="AC20">
        <f>HYPERLINK("https://klasma.github.io/Logging_1498/tillsyn/A 12332-2022 tillsynsbegäran.docx", "A 12332-2022")</f>
        <v/>
      </c>
      <c r="AD20">
        <f>HYPERLINK("https://klasma.github.io/Logging_1498/tillsynsmail/A 12332-2022 tillsynsbegäran mail.docx", "A 12332-2022")</f>
        <v/>
      </c>
    </row>
    <row r="21" ht="15" customHeight="1">
      <c r="A21" t="inlineStr">
        <is>
          <t>A 46247-2025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45925</v>
      </c>
      <c r="E21" s="1" t="n">
        <v>46239</v>
      </c>
      <c r="F21" t="inlineStr">
        <is>
          <t>VÄSTRA GÖTALANDS LÄN</t>
        </is>
      </c>
      <c r="G21" t="inlineStr">
        <is>
          <t>TIDAHOLM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groda</t>
        </is>
      </c>
      <c r="W21">
        <f>HYPERLINK("https://klasma.github.io/Logging_1498/artfynd/A 46247-2025 artfynd.xlsx", "A 46247-2025")</f>
        <v/>
      </c>
      <c r="X21">
        <f>HYPERLINK("https://klasma.github.io/Logging_1498/kartor/A 46247-2025 karta.png", "A 46247-2025")</f>
        <v/>
      </c>
      <c r="Y21">
        <f>HYPERLINK("https://klasma.github.io/Logging_1498/kartor_geotiff/A 46247-2025 georefererad karta.tif", "A 46247-2025")</f>
        <v/>
      </c>
      <c r="AA21">
        <f>HYPERLINK("https://klasma.github.io/Logging_1498/klagomål/A 46247-2025 FSC-klagomål.docx", "A 46247-2025")</f>
        <v/>
      </c>
      <c r="AB21">
        <f>HYPERLINK("https://klasma.github.io/Logging_1498/klagomålsmail/A 46247-2025 FSC-klagomål mail.docx", "A 46247-2025")</f>
        <v/>
      </c>
      <c r="AC21">
        <f>HYPERLINK("https://klasma.github.io/Logging_1498/tillsyn/A 46247-2025 tillsynsbegäran.docx", "A 46247-2025")</f>
        <v/>
      </c>
      <c r="AD21">
        <f>HYPERLINK("https://klasma.github.io/Logging_1498/tillsynsmail/A 46247-2025 tillsynsbegäran mail.docx", "A 46247-2025")</f>
        <v/>
      </c>
    </row>
    <row r="22" ht="15" customHeight="1">
      <c r="A22" t="inlineStr">
        <is>
          <t>A 47391-2025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46239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Sveaskog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HYPERLINK("https://klasma.github.io/Logging_1498/artfynd/A 47391-2025 artfynd.xlsx", "A 47391-2025")</f>
        <v/>
      </c>
      <c r="X22">
        <f>HYPERLINK("https://klasma.github.io/Logging_1498/kartor/A 47391-2025 karta.png", "A 47391-2025")</f>
        <v/>
      </c>
      <c r="Y22">
        <f>HYPERLINK("https://klasma.github.io/Logging_1498/kartor_geotiff/A 47391-2025 georefererad karta.tif", "A 47391-2025")</f>
        <v/>
      </c>
      <c r="AA22">
        <f>HYPERLINK("https://klasma.github.io/Logging_1498/klagomål/A 47391-2025 FSC-klagomål.docx", "A 47391-2025")</f>
        <v/>
      </c>
      <c r="AB22">
        <f>HYPERLINK("https://klasma.github.io/Logging_1498/klagomålsmail/A 47391-2025 FSC-klagomål mail.docx", "A 47391-2025")</f>
        <v/>
      </c>
      <c r="AC22">
        <f>HYPERLINK("https://klasma.github.io/Logging_1498/tillsyn/A 47391-2025 tillsynsbegäran.docx", "A 47391-2025")</f>
        <v/>
      </c>
      <c r="AD22">
        <f>HYPERLINK("https://klasma.github.io/Logging_1498/tillsynsmail/A 47391-2025 tillsynsbegäran mail.docx", "A 47391-2025")</f>
        <v/>
      </c>
      <c r="AE22">
        <f>HYPERLINK("https://klasma.github.io/Logging_1498/fåglar/A 47391-2025 prioriterade fågelarter.docx", "A 47391-2025")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46239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46239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HYPERLINK("https://klasma.github.io/Logging_1498/artfynd/A 6813-2026 artfynd.xlsx", "A 6813-2026")</f>
        <v/>
      </c>
      <c r="X24">
        <f>HYPERLINK("https://klasma.github.io/Logging_1498/kartor/A 6813-2026 karta.png", "A 6813-2026")</f>
        <v/>
      </c>
      <c r="Y24">
        <f>HYPERLINK("https://klasma.github.io/Logging_1498/kartor_geotiff/A 6813-2026 georefererad karta.tif", "A 6813-2026")</f>
        <v/>
      </c>
      <c r="AA24">
        <f>HYPERLINK("https://klasma.github.io/Logging_1498/klagomål/A 6813-2026 FSC-klagomål.docx", "A 6813-2026")</f>
        <v/>
      </c>
      <c r="AB24">
        <f>HYPERLINK("https://klasma.github.io/Logging_1498/klagomålsmail/A 6813-2026 FSC-klagomål mail.docx", "A 6813-2026")</f>
        <v/>
      </c>
      <c r="AC24">
        <f>HYPERLINK("https://klasma.github.io/Logging_1498/tillsyn/A 6813-2026 tillsynsbegäran.docx", "A 6813-2026")</f>
        <v/>
      </c>
      <c r="AD24">
        <f>HYPERLINK("https://klasma.github.io/Logging_1498/tillsynsmail/A 6813-2026 tillsynsbegäran mail.docx", "A 6813-2026")</f>
        <v/>
      </c>
    </row>
    <row r="25" ht="15" customHeight="1">
      <c r="A25" t="inlineStr">
        <is>
          <t>A 57539-2023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45246</v>
      </c>
      <c r="E25" s="1" t="n">
        <v>46239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HYPERLINK("https://klasma.github.io/Logging_1498/artfynd/A 57539-2023 artfynd.xlsx", "A 57539-2023")</f>
        <v/>
      </c>
      <c r="X25">
        <f>HYPERLINK("https://klasma.github.io/Logging_1498/kartor/A 57539-2023 karta.png", "A 57539-2023")</f>
        <v/>
      </c>
      <c r="Y25">
        <f>HYPERLINK("https://klasma.github.io/Logging_1498/kartor_geotiff/A 57539-2023 georefererad karta.tif", "A 57539-2023")</f>
        <v/>
      </c>
      <c r="AA25">
        <f>HYPERLINK("https://klasma.github.io/Logging_1498/klagomål/A 57539-2023 FSC-klagomål.docx", "A 57539-2023")</f>
        <v/>
      </c>
      <c r="AB25">
        <f>HYPERLINK("https://klasma.github.io/Logging_1498/klagomålsmail/A 57539-2023 FSC-klagomål mail.docx", "A 57539-2023")</f>
        <v/>
      </c>
      <c r="AC25">
        <f>HYPERLINK("https://klasma.github.io/Logging_1498/tillsyn/A 57539-2023 tillsynsbegäran.docx", "A 57539-2023")</f>
        <v/>
      </c>
      <c r="AD25">
        <f>HYPERLINK("https://klasma.github.io/Logging_1498/tillsynsmail/A 57539-2023 tillsynsbegäran mail.docx", "A 57539-2023")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46239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46239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46239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46239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46239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46239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46239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46239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46239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46239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46239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46239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46239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46239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46239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46239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43812-2021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44433</v>
      </c>
      <c r="E47" s="1" t="n">
        <v>46239</v>
      </c>
      <c r="F47" t="inlineStr">
        <is>
          <t>VÄSTRA GÖTALANDS LÄN</t>
        </is>
      </c>
      <c r="G47" t="inlineStr">
        <is>
          <t>TIDAHOLM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46239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46239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46239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46239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46239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46239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46239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46239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46239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46239</v>
      </c>
      <c r="F57" t="inlineStr">
        <is>
          <t>VÄSTRA GÖTALANDS LÄN</t>
        </is>
      </c>
      <c r="G57" t="inlineStr">
        <is>
          <t>TIDAHOLM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46239</v>
      </c>
      <c r="F58" t="inlineStr">
        <is>
          <t>VÄSTRA GÖTALANDS LÄN</t>
        </is>
      </c>
      <c r="G58" t="inlineStr">
        <is>
          <t>TIDAHOLM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46239</v>
      </c>
      <c r="F59" t="inlineStr">
        <is>
          <t>VÄSTRA GÖTALANDS LÄN</t>
        </is>
      </c>
      <c r="G59" t="inlineStr">
        <is>
          <t>TIDAHOLM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44703</v>
      </c>
      <c r="E60" s="1" t="n">
        <v>46239</v>
      </c>
      <c r="F60" t="inlineStr">
        <is>
          <t>VÄSTRA GÖTALANDS LÄN</t>
        </is>
      </c>
      <c r="G60" t="inlineStr">
        <is>
          <t>TIDAHOLM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44686</v>
      </c>
      <c r="E61" s="1" t="n">
        <v>46239</v>
      </c>
      <c r="F61" t="inlineStr">
        <is>
          <t>VÄSTRA GÖTALANDS LÄN</t>
        </is>
      </c>
      <c r="G61" t="inlineStr">
        <is>
          <t>TIDAHOLM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46239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46239</v>
      </c>
      <c r="F63" t="inlineStr">
        <is>
          <t>VÄSTRA GÖTALANDS LÄN</t>
        </is>
      </c>
      <c r="G63" t="inlineStr">
        <is>
          <t>TIDAHOLM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46239</v>
      </c>
      <c r="F64" t="inlineStr">
        <is>
          <t>VÄSTRA GÖTALANDS LÄN</t>
        </is>
      </c>
      <c r="G64" t="inlineStr">
        <is>
          <t>TIDAHOLM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46239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46239</v>
      </c>
      <c r="F66" t="inlineStr">
        <is>
          <t>VÄSTRA GÖTALANDS LÄN</t>
        </is>
      </c>
      <c r="G66" t="inlineStr">
        <is>
          <t>TIDAHOLM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46239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46239</v>
      </c>
      <c r="F68" t="inlineStr">
        <is>
          <t>VÄSTRA GÖTALANDS LÄN</t>
        </is>
      </c>
      <c r="G68" t="inlineStr">
        <is>
          <t>TIDAHOLM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73028-2021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46239</v>
      </c>
      <c r="F69" t="inlineStr">
        <is>
          <t>VÄSTRA GÖTALANDS LÄN</t>
        </is>
      </c>
      <c r="G69" t="inlineStr">
        <is>
          <t>TIDAHOLM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73034-2021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46239</v>
      </c>
      <c r="F70" t="inlineStr">
        <is>
          <t>VÄSTRA GÖTALANDS LÄN</t>
        </is>
      </c>
      <c r="G70" t="inlineStr">
        <is>
          <t>TIDAHOLM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66823-2021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46239</v>
      </c>
      <c r="F71" t="inlineStr">
        <is>
          <t>VÄSTRA GÖTALANDS LÄN</t>
        </is>
      </c>
      <c r="G71" t="inlineStr">
        <is>
          <t>TIDAHOLM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46239</v>
      </c>
      <c r="F72" t="inlineStr">
        <is>
          <t>VÄSTRA GÖTALANDS LÄN</t>
        </is>
      </c>
      <c r="G72" t="inlineStr">
        <is>
          <t>TIDAHOLM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68293-2021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46239</v>
      </c>
      <c r="F73" t="inlineStr">
        <is>
          <t>VÄSTRA GÖTALANDS LÄN</t>
        </is>
      </c>
      <c r="G73" t="inlineStr">
        <is>
          <t>TIDAHOLM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46239</v>
      </c>
      <c r="F74" t="inlineStr">
        <is>
          <t>VÄSTRA GÖTALANDS LÄN</t>
        </is>
      </c>
      <c r="G74" t="inlineStr">
        <is>
          <t>TIDAHOLM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46239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46239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46239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46239</v>
      </c>
      <c r="F78" t="inlineStr">
        <is>
          <t>VÄSTRA GÖTALANDS LÄN</t>
        </is>
      </c>
      <c r="G78" t="inlineStr">
        <is>
          <t>TIDAHOLM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50768-2021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46239</v>
      </c>
      <c r="F79" t="inlineStr">
        <is>
          <t>VÄSTRA GÖTALANDS LÄN</t>
        </is>
      </c>
      <c r="G79" t="inlineStr">
        <is>
          <t>TIDAHOLM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54856-2021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46239</v>
      </c>
      <c r="F80" t="inlineStr">
        <is>
          <t>VÄSTRA GÖTALANDS LÄN</t>
        </is>
      </c>
      <c r="G80" t="inlineStr">
        <is>
          <t>TIDAHOLM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46239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Kyrkan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46239</v>
      </c>
      <c r="F82" t="inlineStr">
        <is>
          <t>VÄSTRA GÖTALANDS LÄN</t>
        </is>
      </c>
      <c r="G82" t="inlineStr">
        <is>
          <t>TIDAHOLM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46239</v>
      </c>
      <c r="F83" t="inlineStr">
        <is>
          <t>VÄSTRA GÖTALANDS LÄN</t>
        </is>
      </c>
      <c r="G83" t="inlineStr">
        <is>
          <t>TIDAHOLM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46239</v>
      </c>
      <c r="F84" t="inlineStr">
        <is>
          <t>VÄSTRA GÖTALANDS LÄN</t>
        </is>
      </c>
      <c r="G84" t="inlineStr">
        <is>
          <t>TIDAHOLM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46239</v>
      </c>
      <c r="F85" t="inlineStr">
        <is>
          <t>VÄSTRA GÖTALANDS LÄN</t>
        </is>
      </c>
      <c r="G85" t="inlineStr">
        <is>
          <t>TIDAHOLM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46239</v>
      </c>
      <c r="F86" t="inlineStr">
        <is>
          <t>VÄSTRA GÖTALANDS LÄN</t>
        </is>
      </c>
      <c r="G86" t="inlineStr">
        <is>
          <t>TIDAHOLM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45311</v>
      </c>
      <c r="E87" s="1" t="n">
        <v>46239</v>
      </c>
      <c r="F87" t="inlineStr">
        <is>
          <t>VÄSTRA GÖTALANDS LÄN</t>
        </is>
      </c>
      <c r="G87" t="inlineStr">
        <is>
          <t>TIDAHOLM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45707</v>
      </c>
      <c r="E88" s="1" t="n">
        <v>46239</v>
      </c>
      <c r="F88" t="inlineStr">
        <is>
          <t>VÄSTRA GÖTALANDS LÄN</t>
        </is>
      </c>
      <c r="G88" t="inlineStr">
        <is>
          <t>TIDAHOLM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46239</v>
      </c>
      <c r="F89" t="inlineStr">
        <is>
          <t>VÄSTRA GÖTALANDS LÄN</t>
        </is>
      </c>
      <c r="G89" t="inlineStr">
        <is>
          <t>TIDAHOLM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45170</v>
      </c>
      <c r="E90" s="1" t="n">
        <v>46239</v>
      </c>
      <c r="F90" t="inlineStr">
        <is>
          <t>VÄSTRA GÖTALANDS LÄN</t>
        </is>
      </c>
      <c r="G90" t="inlineStr">
        <is>
          <t>TIDAHOLM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46239</v>
      </c>
      <c r="F91" t="inlineStr">
        <is>
          <t>VÄSTRA GÖTALANDS LÄN</t>
        </is>
      </c>
      <c r="G91" t="inlineStr">
        <is>
          <t>TIDAHOLM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44997</v>
      </c>
      <c r="E92" s="1" t="n">
        <v>46239</v>
      </c>
      <c r="F92" t="inlineStr">
        <is>
          <t>VÄSTRA GÖTALANDS LÄN</t>
        </is>
      </c>
      <c r="G92" t="inlineStr">
        <is>
          <t>TIDAHOLM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46239</v>
      </c>
      <c r="F93" t="inlineStr">
        <is>
          <t>VÄSTRA GÖTALANDS LÄN</t>
        </is>
      </c>
      <c r="G93" t="inlineStr">
        <is>
          <t>TIDAHOLM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46239</v>
      </c>
      <c r="F94" t="inlineStr">
        <is>
          <t>VÄSTRA GÖTALANDS LÄN</t>
        </is>
      </c>
      <c r="G94" t="inlineStr">
        <is>
          <t>TIDAHOLM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46239</v>
      </c>
      <c r="F95" t="inlineStr">
        <is>
          <t>VÄSTRA GÖTALANDS LÄN</t>
        </is>
      </c>
      <c r="G95" t="inlineStr">
        <is>
          <t>TIDAHOLM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49865-2024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45596</v>
      </c>
      <c r="E96" s="1" t="n">
        <v>46239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46239</v>
      </c>
      <c r="F97" t="inlineStr">
        <is>
          <t>VÄSTRA GÖTALANDS LÄN</t>
        </is>
      </c>
      <c r="G97" t="inlineStr">
        <is>
          <t>TIDAHOLM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45359</v>
      </c>
      <c r="E98" s="1" t="n">
        <v>46239</v>
      </c>
      <c r="F98" t="inlineStr">
        <is>
          <t>VÄSTRA GÖTALANDS LÄN</t>
        </is>
      </c>
      <c r="G98" t="inlineStr">
        <is>
          <t>TIDAHOLM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46239</v>
      </c>
      <c r="F99" t="inlineStr">
        <is>
          <t>VÄSTRA GÖTALANDS LÄN</t>
        </is>
      </c>
      <c r="G99" t="inlineStr">
        <is>
          <t>TIDAHOLM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27822-2023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46239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46239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45821</v>
      </c>
      <c r="E102" s="1" t="n">
        <v>46239</v>
      </c>
      <c r="F102" t="inlineStr">
        <is>
          <t>VÄSTRA GÖTALANDS LÄN</t>
        </is>
      </c>
      <c r="G102" t="inlineStr">
        <is>
          <t>TIDAHOLM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50624-2022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44866</v>
      </c>
      <c r="E103" s="1" t="n">
        <v>46239</v>
      </c>
      <c r="F103" t="inlineStr">
        <is>
          <t>VÄSTRA GÖTALANDS LÄN</t>
        </is>
      </c>
      <c r="G103" t="inlineStr">
        <is>
          <t>TIDAHOLM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45786</v>
      </c>
      <c r="E104" s="1" t="n">
        <v>46239</v>
      </c>
      <c r="F104" t="inlineStr">
        <is>
          <t>VÄSTRA GÖTALANDS LÄN</t>
        </is>
      </c>
      <c r="G104" t="inlineStr">
        <is>
          <t>TIDAHOLM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45204</v>
      </c>
      <c r="E105" s="1" t="n">
        <v>46239</v>
      </c>
      <c r="F105" t="inlineStr">
        <is>
          <t>VÄSTRA GÖTALANDS LÄN</t>
        </is>
      </c>
      <c r="G105" t="inlineStr">
        <is>
          <t>TIDAHOLM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44860</v>
      </c>
      <c r="E106" s="1" t="n">
        <v>46239</v>
      </c>
      <c r="F106" t="inlineStr">
        <is>
          <t>VÄSTRA GÖTALANDS LÄN</t>
        </is>
      </c>
      <c r="G106" t="inlineStr">
        <is>
          <t>TIDAHOLM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44985</v>
      </c>
      <c r="E107" s="1" t="n">
        <v>46239</v>
      </c>
      <c r="F107" t="inlineStr">
        <is>
          <t>VÄSTRA GÖTALANDS LÄN</t>
        </is>
      </c>
      <c r="G107" t="inlineStr">
        <is>
          <t>TIDAHOLM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44907</v>
      </c>
      <c r="E108" s="1" t="n">
        <v>46239</v>
      </c>
      <c r="F108" t="inlineStr">
        <is>
          <t>VÄSTRA GÖTALANDS LÄN</t>
        </is>
      </c>
      <c r="G108" t="inlineStr">
        <is>
          <t>TIDAHOLM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46239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46239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46239</v>
      </c>
      <c r="F111" t="inlineStr">
        <is>
          <t>VÄSTRA GÖTALANDS LÄN</t>
        </is>
      </c>
      <c r="G111" t="inlineStr">
        <is>
          <t>TIDAHOLM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46239</v>
      </c>
      <c r="F112" t="inlineStr">
        <is>
          <t>VÄSTRA GÖTALANDS LÄN</t>
        </is>
      </c>
      <c r="G112" t="inlineStr">
        <is>
          <t>TIDAHOLM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45265</v>
      </c>
      <c r="E113" s="1" t="n">
        <v>46239</v>
      </c>
      <c r="F113" t="inlineStr">
        <is>
          <t>VÄSTRA GÖTALANDS LÄN</t>
        </is>
      </c>
      <c r="G113" t="inlineStr">
        <is>
          <t>TIDAHOLM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73728-2021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44552</v>
      </c>
      <c r="E114" s="1" t="n">
        <v>46239</v>
      </c>
      <c r="F114" t="inlineStr">
        <is>
          <t>VÄSTRA GÖTALANDS LÄN</t>
        </is>
      </c>
      <c r="G114" t="inlineStr">
        <is>
          <t>TIDAHOLM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45784</v>
      </c>
      <c r="E115" s="1" t="n">
        <v>46239</v>
      </c>
      <c r="F115" t="inlineStr">
        <is>
          <t>VÄSTRA GÖTALANDS LÄN</t>
        </is>
      </c>
      <c r="G115" t="inlineStr">
        <is>
          <t>TIDAHOLM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61587-2021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46239</v>
      </c>
      <c r="F116" t="inlineStr">
        <is>
          <t>VÄSTRA GÖTALANDS LÄN</t>
        </is>
      </c>
      <c r="G116" t="inlineStr">
        <is>
          <t>TIDAHOLM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45838</v>
      </c>
      <c r="E117" s="1" t="n">
        <v>46239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46239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15953-2022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46239</v>
      </c>
      <c r="F119" t="inlineStr">
        <is>
          <t>VÄSTRA GÖTALANDS LÄN</t>
        </is>
      </c>
      <c r="G119" t="inlineStr">
        <is>
          <t>TIDAHOLM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45280</v>
      </c>
      <c r="E120" s="1" t="n">
        <v>46239</v>
      </c>
      <c r="F120" t="inlineStr">
        <is>
          <t>VÄSTRA GÖTALANDS LÄN</t>
        </is>
      </c>
      <c r="G120" t="inlineStr">
        <is>
          <t>TIDAHOLM</t>
        </is>
      </c>
      <c r="I120" t="n">
        <v>6.4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45665</v>
      </c>
      <c r="E121" s="1" t="n">
        <v>46239</v>
      </c>
      <c r="F121" t="inlineStr">
        <is>
          <t>VÄSTRA GÖTALANDS LÄN</t>
        </is>
      </c>
      <c r="G121" t="inlineStr">
        <is>
          <t>TIDAHOLM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46239</v>
      </c>
      <c r="F122" t="inlineStr">
        <is>
          <t>VÄSTRA GÖTALANDS LÄN</t>
        </is>
      </c>
      <c r="G122" t="inlineStr">
        <is>
          <t>TIDAHOLM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45016</v>
      </c>
      <c r="E123" s="1" t="n">
        <v>46239</v>
      </c>
      <c r="F123" t="inlineStr">
        <is>
          <t>VÄSTRA GÖTALANDS LÄN</t>
        </is>
      </c>
      <c r="G123" t="inlineStr">
        <is>
          <t>TIDAHOLM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46239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57958-2022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46239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46239</v>
      </c>
      <c r="F126" t="inlineStr">
        <is>
          <t>VÄSTRA GÖTALANDS LÄN</t>
        </is>
      </c>
      <c r="G126" t="inlineStr">
        <is>
          <t>TIDAHOLM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46239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46239</v>
      </c>
      <c r="F128" t="inlineStr">
        <is>
          <t>VÄSTRA GÖTALANDS LÄN</t>
        </is>
      </c>
      <c r="G128" t="inlineStr">
        <is>
          <t>TIDAHOLM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46239</v>
      </c>
      <c r="F129" t="inlineStr">
        <is>
          <t>VÄSTRA GÖTALANDS LÄN</t>
        </is>
      </c>
      <c r="G129" t="inlineStr">
        <is>
          <t>TIDAHOLM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45258</v>
      </c>
      <c r="E130" s="1" t="n">
        <v>46239</v>
      </c>
      <c r="F130" t="inlineStr">
        <is>
          <t>VÄSTRA GÖTALANDS LÄN</t>
        </is>
      </c>
      <c r="G130" t="inlineStr">
        <is>
          <t>TIDAHOLM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46239</v>
      </c>
      <c r="F131" t="inlineStr">
        <is>
          <t>VÄSTRA GÖTALANDS LÄN</t>
        </is>
      </c>
      <c r="G131" t="inlineStr">
        <is>
          <t>TIDAHOLM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45669</v>
      </c>
      <c r="E132" s="1" t="n">
        <v>46239</v>
      </c>
      <c r="F132" t="inlineStr">
        <is>
          <t>VÄSTRA GÖTALANDS LÄN</t>
        </is>
      </c>
      <c r="G132" t="inlineStr">
        <is>
          <t>TIDAHOLM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45779</v>
      </c>
      <c r="E133" s="1" t="n">
        <v>46239</v>
      </c>
      <c r="F133" t="inlineStr">
        <is>
          <t>VÄSTRA GÖTALANDS LÄN</t>
        </is>
      </c>
      <c r="G133" t="inlineStr">
        <is>
          <t>TIDAHOLM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14334-2025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45740</v>
      </c>
      <c r="E134" s="1" t="n">
        <v>46239</v>
      </c>
      <c r="F134" t="inlineStr">
        <is>
          <t>VÄSTRA GÖTALANDS LÄN</t>
        </is>
      </c>
      <c r="G134" t="inlineStr">
        <is>
          <t>TIDAHOLM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44915</v>
      </c>
      <c r="E135" s="1" t="n">
        <v>46239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46239</v>
      </c>
      <c r="F136" t="inlineStr">
        <is>
          <t>VÄSTRA GÖTALANDS LÄN</t>
        </is>
      </c>
      <c r="G136" t="inlineStr">
        <is>
          <t>TIDAHOLM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44945</v>
      </c>
      <c r="E137" s="1" t="n">
        <v>46239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45603</v>
      </c>
      <c r="E138" s="1" t="n">
        <v>46239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46239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46239</v>
      </c>
      <c r="F140" t="inlineStr">
        <is>
          <t>VÄSTRA GÖTALANDS LÄN</t>
        </is>
      </c>
      <c r="G140" t="inlineStr">
        <is>
          <t>TIDAHOLM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35388-2025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45855</v>
      </c>
      <c r="E141" s="1" t="n">
        <v>46239</v>
      </c>
      <c r="F141" t="inlineStr">
        <is>
          <t>VÄSTRA GÖTALANDS LÄN</t>
        </is>
      </c>
      <c r="G141" t="inlineStr">
        <is>
          <t>TIDAHOLM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45473</v>
      </c>
      <c r="E142" s="1" t="n">
        <v>46239</v>
      </c>
      <c r="F142" t="inlineStr">
        <is>
          <t>VÄSTRA GÖTALANDS LÄN</t>
        </is>
      </c>
      <c r="G142" t="inlineStr">
        <is>
          <t>TIDAHOLM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45474</v>
      </c>
      <c r="E143" s="1" t="n">
        <v>46239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45854</v>
      </c>
      <c r="E144" s="1" t="n">
        <v>46239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45861</v>
      </c>
      <c r="E145" s="1" t="n">
        <v>46239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7917-2023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44973</v>
      </c>
      <c r="E146" s="1" t="n">
        <v>46239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46239</v>
      </c>
      <c r="F147" t="inlineStr">
        <is>
          <t>VÄSTRA GÖTALANDS LÄN</t>
        </is>
      </c>
      <c r="G147" t="inlineStr">
        <is>
          <t>TIDAHOLM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46239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46239</v>
      </c>
      <c r="F149" t="inlineStr">
        <is>
          <t>VÄSTRA GÖTALANDS LÄN</t>
        </is>
      </c>
      <c r="G149" t="inlineStr">
        <is>
          <t>TIDAHOLM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44453</v>
      </c>
      <c r="E150" s="1" t="n">
        <v>46239</v>
      </c>
      <c r="F150" t="inlineStr">
        <is>
          <t>VÄSTRA GÖTALANDS LÄN</t>
        </is>
      </c>
      <c r="G150" t="inlineStr">
        <is>
          <t>TIDAHOLM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46239</v>
      </c>
      <c r="F151" t="inlineStr">
        <is>
          <t>VÄSTRA GÖTALANDS LÄN</t>
        </is>
      </c>
      <c r="G151" t="inlineStr">
        <is>
          <t>TIDAHOLM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46239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Allmännings- och besparingsskogar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45068</v>
      </c>
      <c r="E153" s="1" t="n">
        <v>46239</v>
      </c>
      <c r="F153" t="inlineStr">
        <is>
          <t>VÄSTRA GÖTALANDS LÄN</t>
        </is>
      </c>
      <c r="G153" t="inlineStr">
        <is>
          <t>TIDAHOLM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46239</v>
      </c>
      <c r="F154" t="inlineStr">
        <is>
          <t>VÄSTRA GÖTALANDS LÄN</t>
        </is>
      </c>
      <c r="G154" t="inlineStr">
        <is>
          <t>TIDAHOLM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46239</v>
      </c>
      <c r="F155" t="inlineStr">
        <is>
          <t>VÄSTRA GÖTALANDS LÄN</t>
        </is>
      </c>
      <c r="G155" t="inlineStr">
        <is>
          <t>TIDAHOLM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46239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45425</v>
      </c>
      <c r="E157" s="1" t="n">
        <v>46239</v>
      </c>
      <c r="F157" t="inlineStr">
        <is>
          <t>VÄSTRA GÖTALANDS LÄN</t>
        </is>
      </c>
      <c r="G157" t="inlineStr">
        <is>
          <t>TIDAHOLM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46239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Kyrkan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46239</v>
      </c>
      <c r="F159" t="inlineStr">
        <is>
          <t>VÄSTRA GÖTALANDS LÄN</t>
        </is>
      </c>
      <c r="G159" t="inlineStr">
        <is>
          <t>TIDAHOLM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46239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46239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68631-2021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44529</v>
      </c>
      <c r="E162" s="1" t="n">
        <v>46239</v>
      </c>
      <c r="F162" t="inlineStr">
        <is>
          <t>VÄSTRA GÖTALANDS LÄN</t>
        </is>
      </c>
      <c r="G162" t="inlineStr">
        <is>
          <t>TIDAHOLM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14907-2023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45013</v>
      </c>
      <c r="E163" s="1" t="n">
        <v>46239</v>
      </c>
      <c r="F163" t="inlineStr">
        <is>
          <t>VÄSTRA GÖTALANDS LÄN</t>
        </is>
      </c>
      <c r="G163" t="inlineStr">
        <is>
          <t>TIDAHOLM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46239</v>
      </c>
      <c r="F164" t="inlineStr">
        <is>
          <t>VÄSTRA GÖTALANDS LÄN</t>
        </is>
      </c>
      <c r="G164" t="inlineStr">
        <is>
          <t>TIDAHOLM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46239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45420</v>
      </c>
      <c r="E166" s="1" t="n">
        <v>46239</v>
      </c>
      <c r="F166" t="inlineStr">
        <is>
          <t>VÄSTRA GÖTALANDS LÄN</t>
        </is>
      </c>
      <c r="G166" t="inlineStr">
        <is>
          <t>TIDAHOLM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46239</v>
      </c>
      <c r="F167" t="inlineStr">
        <is>
          <t>VÄSTRA GÖTALANDS LÄN</t>
        </is>
      </c>
      <c r="G167" t="inlineStr">
        <is>
          <t>TIDAHOLM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46239</v>
      </c>
      <c r="F168" t="inlineStr">
        <is>
          <t>VÄSTRA GÖTALANDS LÄN</t>
        </is>
      </c>
      <c r="G168" t="inlineStr">
        <is>
          <t>TIDAHOLM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46239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45483</v>
      </c>
      <c r="E170" s="1" t="n">
        <v>46239</v>
      </c>
      <c r="F170" t="inlineStr">
        <is>
          <t>VÄSTRA GÖTALANDS LÄN</t>
        </is>
      </c>
      <c r="G170" t="inlineStr">
        <is>
          <t>TIDAHOLM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46239</v>
      </c>
      <c r="F171" t="inlineStr">
        <is>
          <t>VÄSTRA GÖTALANDS LÄN</t>
        </is>
      </c>
      <c r="G171" t="inlineStr">
        <is>
          <t>TIDAHOLM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60646-2022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44911</v>
      </c>
      <c r="E172" s="1" t="n">
        <v>46239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46239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Allmännings- och besparingsskogar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46239</v>
      </c>
      <c r="F174" t="inlineStr">
        <is>
          <t>VÄSTRA GÖTALANDS LÄN</t>
        </is>
      </c>
      <c r="G174" t="inlineStr">
        <is>
          <t>TIDAHOLM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32670-2023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45121</v>
      </c>
      <c r="E175" s="1" t="n">
        <v>46239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46239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Allmännings- och besparingsskogar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46239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46239</v>
      </c>
      <c r="F178" t="inlineStr">
        <is>
          <t>VÄSTRA GÖTALANDS LÄN</t>
        </is>
      </c>
      <c r="G178" t="inlineStr">
        <is>
          <t>TIDAHOLM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46239</v>
      </c>
      <c r="F179" t="inlineStr">
        <is>
          <t>VÄSTRA GÖTALANDS LÄN</t>
        </is>
      </c>
      <c r="G179" t="inlineStr">
        <is>
          <t>TIDAHOLM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44766</v>
      </c>
      <c r="E180" s="1" t="n">
        <v>46239</v>
      </c>
      <c r="F180" t="inlineStr">
        <is>
          <t>VÄSTRA GÖTALANDS LÄN</t>
        </is>
      </c>
      <c r="G180" t="inlineStr">
        <is>
          <t>TIDAHOLM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45469</v>
      </c>
      <c r="E181" s="1" t="n">
        <v>46239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45404</v>
      </c>
      <c r="E182" s="1" t="n">
        <v>46239</v>
      </c>
      <c r="F182" t="inlineStr">
        <is>
          <t>VÄSTRA GÖTALANDS LÄN</t>
        </is>
      </c>
      <c r="G182" t="inlineStr">
        <is>
          <t>TIDAHOLM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46239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11437-2022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44630</v>
      </c>
      <c r="E184" s="1" t="n">
        <v>46239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46239</v>
      </c>
      <c r="F185" t="inlineStr">
        <is>
          <t>VÄSTRA GÖTALANDS LÄN</t>
        </is>
      </c>
      <c r="G185" t="inlineStr">
        <is>
          <t>TIDAHOLM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45587</v>
      </c>
      <c r="E186" s="1" t="n">
        <v>46239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46239</v>
      </c>
      <c r="F187" t="inlineStr">
        <is>
          <t>VÄSTRA GÖTALANDS LÄN</t>
        </is>
      </c>
      <c r="G187" t="inlineStr">
        <is>
          <t>TIDAHOLM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46239</v>
      </c>
      <c r="F188" t="inlineStr">
        <is>
          <t>VÄSTRA GÖTALANDS LÄN</t>
        </is>
      </c>
      <c r="G188" t="inlineStr">
        <is>
          <t>TIDAHOLM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46239</v>
      </c>
      <c r="F189" t="inlineStr">
        <is>
          <t>VÄSTRA GÖTALANDS LÄN</t>
        </is>
      </c>
      <c r="G189" t="inlineStr">
        <is>
          <t>TIDAHOLM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45469</v>
      </c>
      <c r="E190" s="1" t="n">
        <v>46239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17339-2024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45414</v>
      </c>
      <c r="E191" s="1" t="n">
        <v>46239</v>
      </c>
      <c r="F191" t="inlineStr">
        <is>
          <t>VÄSTRA GÖTALANDS LÄN</t>
        </is>
      </c>
      <c r="G191" t="inlineStr">
        <is>
          <t>TIDAHOLM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45096</v>
      </c>
      <c r="E192" s="1" t="n">
        <v>46239</v>
      </c>
      <c r="F192" t="inlineStr">
        <is>
          <t>VÄSTRA GÖTALANDS LÄN</t>
        </is>
      </c>
      <c r="G192" t="inlineStr">
        <is>
          <t>TIDAHOLM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45556</v>
      </c>
      <c r="E193" s="1" t="n">
        <v>46239</v>
      </c>
      <c r="F193" t="inlineStr">
        <is>
          <t>VÄSTRA GÖTALANDS LÄN</t>
        </is>
      </c>
      <c r="G193" t="inlineStr">
        <is>
          <t>TIDAHOLM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46239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Kyrkan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46239</v>
      </c>
      <c r="F195" t="inlineStr">
        <is>
          <t>VÄSTRA GÖTALANDS LÄN</t>
        </is>
      </c>
      <c r="G195" t="inlineStr">
        <is>
          <t>TIDAHOLM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46239</v>
      </c>
      <c r="F196" t="inlineStr">
        <is>
          <t>VÄSTRA GÖTALANDS LÄN</t>
        </is>
      </c>
      <c r="G196" t="inlineStr">
        <is>
          <t>TIDAHOLM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46239</v>
      </c>
      <c r="F197" t="inlineStr">
        <is>
          <t>VÄSTRA GÖTALANDS LÄN</t>
        </is>
      </c>
      <c r="G197" t="inlineStr">
        <is>
          <t>TIDAHOLM</t>
        </is>
      </c>
      <c r="I197" t="n">
        <v>13.8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44910</v>
      </c>
      <c r="E198" s="1" t="n">
        <v>46239</v>
      </c>
      <c r="F198" t="inlineStr">
        <is>
          <t>VÄSTRA GÖTALANDS LÄN</t>
        </is>
      </c>
      <c r="G198" t="inlineStr">
        <is>
          <t>TIDAHOLM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46239</v>
      </c>
      <c r="F199" t="inlineStr">
        <is>
          <t>VÄSTRA GÖTALANDS LÄN</t>
        </is>
      </c>
      <c r="G199" t="inlineStr">
        <is>
          <t>TIDAHOLM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46239</v>
      </c>
      <c r="F200" t="inlineStr">
        <is>
          <t>VÄSTRA GÖTALANDS LÄN</t>
        </is>
      </c>
      <c r="G200" t="inlineStr">
        <is>
          <t>TIDAHOLM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46239</v>
      </c>
      <c r="F201" t="inlineStr">
        <is>
          <t>VÄSTRA GÖTALANDS LÄN</t>
        </is>
      </c>
      <c r="G201" t="inlineStr">
        <is>
          <t>TIDAHOLM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45899</v>
      </c>
      <c r="E202" s="1" t="n">
        <v>46239</v>
      </c>
      <c r="F202" t="inlineStr">
        <is>
          <t>VÄSTRA GÖTALANDS LÄN</t>
        </is>
      </c>
      <c r="G202" t="inlineStr">
        <is>
          <t>TIDAHOLM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46239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45904</v>
      </c>
      <c r="E204" s="1" t="n">
        <v>46239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46239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46239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45904</v>
      </c>
      <c r="E207" s="1" t="n">
        <v>46239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46239</v>
      </c>
      <c r="F208" t="inlineStr">
        <is>
          <t>VÄSTRA GÖTALANDS LÄN</t>
        </is>
      </c>
      <c r="G208" t="inlineStr">
        <is>
          <t>TIDAHOLM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46239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45687</v>
      </c>
      <c r="E210" s="1" t="n">
        <v>46239</v>
      </c>
      <c r="F210" t="inlineStr">
        <is>
          <t>VÄSTRA GÖTALANDS LÄN</t>
        </is>
      </c>
      <c r="G210" t="inlineStr">
        <is>
          <t>TIDAHOLM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45232</v>
      </c>
      <c r="E211" s="1" t="n">
        <v>46239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35479-2023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45146</v>
      </c>
      <c r="E212" s="1" t="n">
        <v>46239</v>
      </c>
      <c r="F212" t="inlineStr">
        <is>
          <t>VÄSTRA GÖTALANDS LÄN</t>
        </is>
      </c>
      <c r="G212" t="inlineStr">
        <is>
          <t>TIDAHOLM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46239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46239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60643-2022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46239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46239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46239</v>
      </c>
      <c r="F217" t="inlineStr">
        <is>
          <t>VÄSTRA GÖTALANDS LÄN</t>
        </is>
      </c>
      <c r="G217" t="inlineStr">
        <is>
          <t>TIDAHOLM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44973</v>
      </c>
      <c r="E218" s="1" t="n">
        <v>46239</v>
      </c>
      <c r="F218" t="inlineStr">
        <is>
          <t>VÄSTRA GÖTALANDS LÄN</t>
        </is>
      </c>
      <c r="G218" t="inlineStr">
        <is>
          <t>TIDAHOLM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46239</v>
      </c>
      <c r="F219" t="inlineStr">
        <is>
          <t>VÄSTRA GÖTALANDS LÄN</t>
        </is>
      </c>
      <c r="G219" t="inlineStr">
        <is>
          <t>TIDAHOLM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46239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46239</v>
      </c>
      <c r="F221" t="inlineStr">
        <is>
          <t>VÄSTRA GÖTALANDS LÄN</t>
        </is>
      </c>
      <c r="G221" t="inlineStr">
        <is>
          <t>TIDAHOLM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44630</v>
      </c>
      <c r="E222" s="1" t="n">
        <v>46239</v>
      </c>
      <c r="F222" t="inlineStr">
        <is>
          <t>VÄSTRA GÖTALANDS LÄN</t>
        </is>
      </c>
      <c r="G222" t="inlineStr">
        <is>
          <t>TIDAHOLM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46239</v>
      </c>
      <c r="F223" t="inlineStr">
        <is>
          <t>VÄSTRA GÖTALANDS LÄN</t>
        </is>
      </c>
      <c r="G223" t="inlineStr">
        <is>
          <t>TIDAHOLM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46239</v>
      </c>
      <c r="F224" t="inlineStr">
        <is>
          <t>VÄSTRA GÖTALANDS LÄN</t>
        </is>
      </c>
      <c r="G224" t="inlineStr">
        <is>
          <t>TIDAHOLM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46239</v>
      </c>
      <c r="F225" t="inlineStr">
        <is>
          <t>VÄSTRA GÖTALANDS LÄN</t>
        </is>
      </c>
      <c r="G225" t="inlineStr">
        <is>
          <t>TIDAHOLM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46239</v>
      </c>
      <c r="F226" t="inlineStr">
        <is>
          <t>VÄSTRA GÖTALANDS LÄN</t>
        </is>
      </c>
      <c r="G226" t="inlineStr">
        <is>
          <t>TIDAHOLM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46239</v>
      </c>
      <c r="F227" t="inlineStr">
        <is>
          <t>VÄSTRA GÖTALANDS LÄN</t>
        </is>
      </c>
      <c r="G227" t="inlineStr">
        <is>
          <t>TIDAHOLM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45548</v>
      </c>
      <c r="E228" s="1" t="n">
        <v>46239</v>
      </c>
      <c r="F228" t="inlineStr">
        <is>
          <t>VÄSTRA GÖTALANDS LÄN</t>
        </is>
      </c>
      <c r="G228" t="inlineStr">
        <is>
          <t>TIDAHOLM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46239</v>
      </c>
      <c r="F229" t="inlineStr">
        <is>
          <t>VÄSTRA GÖTALANDS LÄN</t>
        </is>
      </c>
      <c r="G229" t="inlineStr">
        <is>
          <t>TIDAHOLM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46239</v>
      </c>
      <c r="F230" t="inlineStr">
        <is>
          <t>VÄSTRA GÖTALANDS LÄN</t>
        </is>
      </c>
      <c r="G230" t="inlineStr">
        <is>
          <t>TIDAHOLM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46239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47370-2025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45930</v>
      </c>
      <c r="E232" s="1" t="n">
        <v>46239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46239</v>
      </c>
      <c r="F233" t="inlineStr">
        <is>
          <t>VÄSTRA GÖTALANDS LÄN</t>
        </is>
      </c>
      <c r="G233" t="inlineStr">
        <is>
          <t>TIDAHOLM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46239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46239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46239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46239</v>
      </c>
      <c r="F237" t="inlineStr">
        <is>
          <t>VÄSTRA GÖTALANDS LÄN</t>
        </is>
      </c>
      <c r="G237" t="inlineStr">
        <is>
          <t>TIDAHOLM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46239</v>
      </c>
      <c r="F238" t="inlineStr">
        <is>
          <t>VÄSTRA GÖTALANDS LÄN</t>
        </is>
      </c>
      <c r="G238" t="inlineStr">
        <is>
          <t>TIDAHOLM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46239</v>
      </c>
      <c r="F239" t="inlineStr">
        <is>
          <t>VÄSTRA GÖTALANDS LÄN</t>
        </is>
      </c>
      <c r="G239" t="inlineStr">
        <is>
          <t>TIDAHOLM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9231-2024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46239</v>
      </c>
      <c r="F240" t="inlineStr">
        <is>
          <t>VÄSTRA GÖTALANDS LÄN</t>
        </is>
      </c>
      <c r="G240" t="inlineStr">
        <is>
          <t>TIDAHOLM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46239</v>
      </c>
      <c r="F241" t="inlineStr">
        <is>
          <t>VÄSTRA GÖTALANDS LÄN</t>
        </is>
      </c>
      <c r="G241" t="inlineStr">
        <is>
          <t>TIDAHOLM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60923-2024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46239</v>
      </c>
      <c r="F242" t="inlineStr">
        <is>
          <t>VÄSTRA GÖTALANDS LÄN</t>
        </is>
      </c>
      <c r="G242" t="inlineStr">
        <is>
          <t>TIDAHOLM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1941-2025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45672</v>
      </c>
      <c r="E243" s="1" t="n">
        <v>46239</v>
      </c>
      <c r="F243" t="inlineStr">
        <is>
          <t>VÄSTRA GÖTALANDS LÄN</t>
        </is>
      </c>
      <c r="G243" t="inlineStr">
        <is>
          <t>TIDAHOLM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45534</v>
      </c>
      <c r="E244" s="1" t="n">
        <v>46239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Allmännings- och besparingsskogar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46239</v>
      </c>
      <c r="F245" t="inlineStr">
        <is>
          <t>VÄSTRA GÖTALANDS LÄN</t>
        </is>
      </c>
      <c r="G245" t="inlineStr">
        <is>
          <t>TIDAHOLM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45181</v>
      </c>
      <c r="E246" s="1" t="n">
        <v>46239</v>
      </c>
      <c r="F246" t="inlineStr">
        <is>
          <t>VÄSTRA GÖTALANDS LÄN</t>
        </is>
      </c>
      <c r="G246" t="inlineStr">
        <is>
          <t>TIDAHOLM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32591-2022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46239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46239</v>
      </c>
      <c r="F248" t="inlineStr">
        <is>
          <t>VÄSTRA GÖTALANDS LÄN</t>
        </is>
      </c>
      <c r="G248" t="inlineStr">
        <is>
          <t>TIDAHOLM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46239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45779</v>
      </c>
      <c r="E250" s="1" t="n">
        <v>46239</v>
      </c>
      <c r="F250" t="inlineStr">
        <is>
          <t>VÄSTRA GÖTALANDS LÄN</t>
        </is>
      </c>
      <c r="G250" t="inlineStr">
        <is>
          <t>TIDAHOLM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46239</v>
      </c>
      <c r="F251" t="inlineStr">
        <is>
          <t>VÄSTRA GÖTALANDS LÄN</t>
        </is>
      </c>
      <c r="G251" t="inlineStr">
        <is>
          <t>TIDAHOLM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45473</v>
      </c>
      <c r="E252" s="1" t="n">
        <v>46239</v>
      </c>
      <c r="F252" t="inlineStr">
        <is>
          <t>VÄSTRA GÖTALANDS LÄN</t>
        </is>
      </c>
      <c r="G252" t="inlineStr">
        <is>
          <t>TIDAHOLM</t>
        </is>
      </c>
      <c r="I252" t="n">
        <v>8.800000000000001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45530</v>
      </c>
      <c r="E253" s="1" t="n">
        <v>46239</v>
      </c>
      <c r="F253" t="inlineStr">
        <is>
          <t>VÄSTRA GÖTALANDS LÄN</t>
        </is>
      </c>
      <c r="G253" t="inlineStr">
        <is>
          <t>TIDAHOLM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45709</v>
      </c>
      <c r="E254" s="1" t="n">
        <v>46239</v>
      </c>
      <c r="F254" t="inlineStr">
        <is>
          <t>VÄSTRA GÖTALANDS LÄN</t>
        </is>
      </c>
      <c r="G254" t="inlineStr">
        <is>
          <t>TIDAHOLM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45790</v>
      </c>
      <c r="E255" s="1" t="n">
        <v>46239</v>
      </c>
      <c r="F255" t="inlineStr">
        <is>
          <t>VÄSTRA GÖTALANDS LÄN</t>
        </is>
      </c>
      <c r="G255" t="inlineStr">
        <is>
          <t>TIDAHOLM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33568-2024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45519</v>
      </c>
      <c r="E256" s="1" t="n">
        <v>46239</v>
      </c>
      <c r="F256" t="inlineStr">
        <is>
          <t>VÄSTRA GÖTALANDS LÄN</t>
        </is>
      </c>
      <c r="G256" t="inlineStr">
        <is>
          <t>TIDAHOLM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46239</v>
      </c>
      <c r="F257" t="inlineStr">
        <is>
          <t>VÄSTRA GÖTALANDS LÄN</t>
        </is>
      </c>
      <c r="G257" t="inlineStr">
        <is>
          <t>TIDAHOLM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45531</v>
      </c>
      <c r="E258" s="1" t="n">
        <v>46239</v>
      </c>
      <c r="F258" t="inlineStr">
        <is>
          <t>VÄSTRA GÖTALANDS LÄN</t>
        </is>
      </c>
      <c r="G258" t="inlineStr">
        <is>
          <t>TIDAHOLM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46239</v>
      </c>
      <c r="F259" t="inlineStr">
        <is>
          <t>VÄSTRA GÖTALANDS LÄN</t>
        </is>
      </c>
      <c r="G259" t="inlineStr">
        <is>
          <t>TIDAHOLM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45814</v>
      </c>
      <c r="E260" s="1" t="n">
        <v>46239</v>
      </c>
      <c r="F260" t="inlineStr">
        <is>
          <t>VÄSTRA GÖTALANDS LÄN</t>
        </is>
      </c>
      <c r="G260" t="inlineStr">
        <is>
          <t>TIDAHOLM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45711</v>
      </c>
      <c r="E261" s="1" t="n">
        <v>46239</v>
      </c>
      <c r="F261" t="inlineStr">
        <is>
          <t>VÄSTRA GÖTALANDS LÄN</t>
        </is>
      </c>
      <c r="G261" t="inlineStr">
        <is>
          <t>TIDAHOLM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46239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45680</v>
      </c>
      <c r="E263" s="1" t="n">
        <v>46239</v>
      </c>
      <c r="F263" t="inlineStr">
        <is>
          <t>VÄSTRA GÖTALANDS LÄN</t>
        </is>
      </c>
      <c r="G263" t="inlineStr">
        <is>
          <t>TIDAHOLM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54922-2025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46239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46239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46239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54945-2025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46239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54927-2025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46239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54930-2025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46239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46239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46239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54974-2025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45967</v>
      </c>
      <c r="E272" s="1" t="n">
        <v>46239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46239</v>
      </c>
      <c r="F273" t="inlineStr">
        <is>
          <t>VÄSTRA GÖTALANDS LÄN</t>
        </is>
      </c>
      <c r="G273" t="inlineStr">
        <is>
          <t>TIDAHOLM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46239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Kyrkan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46239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46239</v>
      </c>
      <c r="F276" t="inlineStr">
        <is>
          <t>VÄSTRA GÖTALANDS LÄN</t>
        </is>
      </c>
      <c r="G276" t="inlineStr">
        <is>
          <t>TIDAHOLM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46239</v>
      </c>
      <c r="F277" t="inlineStr">
        <is>
          <t>VÄSTRA GÖTALANDS LÄN</t>
        </is>
      </c>
      <c r="G277" t="inlineStr">
        <is>
          <t>TIDAHOLM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46239</v>
      </c>
      <c r="F278" t="inlineStr">
        <is>
          <t>VÄSTRA GÖTALANDS LÄN</t>
        </is>
      </c>
      <c r="G278" t="inlineStr">
        <is>
          <t>TIDAHOLM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46239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44580</v>
      </c>
      <c r="E280" s="1" t="n">
        <v>46239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46239</v>
      </c>
      <c r="F281" t="inlineStr">
        <is>
          <t>VÄSTRA GÖTALANDS LÄN</t>
        </is>
      </c>
      <c r="G281" t="inlineStr">
        <is>
          <t>TIDAHOLM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46239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Kyrkan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46239</v>
      </c>
      <c r="F283" t="inlineStr">
        <is>
          <t>VÄSTRA GÖTALANDS LÄN</t>
        </is>
      </c>
      <c r="G283" t="inlineStr">
        <is>
          <t>TIDAHOLM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46239</v>
      </c>
      <c r="F284" t="inlineStr">
        <is>
          <t>VÄSTRA GÖTALANDS LÄN</t>
        </is>
      </c>
      <c r="G284" t="inlineStr">
        <is>
          <t>TIDAHOLM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46175</v>
      </c>
      <c r="E285" s="1" t="n">
        <v>46239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46014</v>
      </c>
      <c r="E286" s="1" t="n">
        <v>46239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46239</v>
      </c>
      <c r="F287" t="inlineStr">
        <is>
          <t>VÄSTRA GÖTALANDS LÄN</t>
        </is>
      </c>
      <c r="G287" t="inlineStr">
        <is>
          <t>TIDAHOLM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46175</v>
      </c>
      <c r="E288" s="1" t="n">
        <v>46239</v>
      </c>
      <c r="F288" t="inlineStr">
        <is>
          <t>VÄSTRA GÖTALANDS LÄN</t>
        </is>
      </c>
      <c r="G288" t="inlineStr">
        <is>
          <t>TIDAHOLM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46239</v>
      </c>
      <c r="F289" t="inlineStr">
        <is>
          <t>VÄSTRA GÖTALANDS LÄN</t>
        </is>
      </c>
      <c r="G289" t="inlineStr">
        <is>
          <t>TIDAHOLM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46021</v>
      </c>
      <c r="E290" s="1" t="n">
        <v>46239</v>
      </c>
      <c r="F290" t="inlineStr">
        <is>
          <t>VÄSTRA GÖTALANDS LÄN</t>
        </is>
      </c>
      <c r="G290" t="inlineStr">
        <is>
          <t>TIDAHOLM</t>
        </is>
      </c>
      <c r="I290" t="n">
        <v>8.699999999999999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26525-2024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46239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46239</v>
      </c>
      <c r="F292" t="inlineStr">
        <is>
          <t>VÄSTRA GÖTALANDS LÄN</t>
        </is>
      </c>
      <c r="G292" t="inlineStr">
        <is>
          <t>TIDAHOLM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69446-2021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46239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Kyrkan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45240</v>
      </c>
      <c r="E294" s="1" t="n">
        <v>46239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Kyrkan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46239</v>
      </c>
      <c r="F295" t="inlineStr">
        <is>
          <t>VÄSTRA GÖTALANDS LÄN</t>
        </is>
      </c>
      <c r="G295" t="inlineStr">
        <is>
          <t>TIDAHOLM</t>
        </is>
      </c>
      <c r="I295" t="n">
        <v>23.4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46239</v>
      </c>
      <c r="F296" t="inlineStr">
        <is>
          <t>VÄSTRA GÖTALANDS LÄN</t>
        </is>
      </c>
      <c r="G296" t="inlineStr">
        <is>
          <t>TIDAHOLM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46239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46239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46239</v>
      </c>
      <c r="F299" t="inlineStr">
        <is>
          <t>VÄSTRA GÖTALANDS LÄN</t>
        </is>
      </c>
      <c r="G299" t="inlineStr">
        <is>
          <t>TIDAHOLM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74340-2021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44559</v>
      </c>
      <c r="E300" s="1" t="n">
        <v>46239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46239</v>
      </c>
      <c r="F301" t="inlineStr">
        <is>
          <t>VÄSTRA GÖTALANDS LÄN</t>
        </is>
      </c>
      <c r="G301" t="inlineStr">
        <is>
          <t>TIDAHOLM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44865</v>
      </c>
      <c r="E302" s="1" t="n">
        <v>46239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46239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16382-2023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45029</v>
      </c>
      <c r="E304" s="1" t="n">
        <v>46239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46239</v>
      </c>
      <c r="F305" t="inlineStr">
        <is>
          <t>VÄSTRA GÖTALANDS LÄN</t>
        </is>
      </c>
      <c r="G305" t="inlineStr">
        <is>
          <t>TIDAHOLM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46051</v>
      </c>
      <c r="E306" s="1" t="n">
        <v>46239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Kommuner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49300-2021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44454</v>
      </c>
      <c r="E307" s="1" t="n">
        <v>46239</v>
      </c>
      <c r="F307" t="inlineStr">
        <is>
          <t>VÄSTRA GÖTALANDS LÄN</t>
        </is>
      </c>
      <c r="G307" t="inlineStr">
        <is>
          <t>TIDAHOLM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46239</v>
      </c>
      <c r="F308" t="inlineStr">
        <is>
          <t>VÄSTRA GÖTALANDS LÄN</t>
        </is>
      </c>
      <c r="G308" t="inlineStr">
        <is>
          <t>TIDAHOLM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44903</v>
      </c>
      <c r="E309" s="1" t="n">
        <v>46239</v>
      </c>
      <c r="F309" t="inlineStr">
        <is>
          <t>VÄSTRA GÖTALANDS LÄN</t>
        </is>
      </c>
      <c r="G309" t="inlineStr">
        <is>
          <t>TIDAHOLM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8163-2026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46239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Kommuner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45495</v>
      </c>
      <c r="E311" s="1" t="n">
        <v>46239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45495</v>
      </c>
      <c r="E312" s="1" t="n">
        <v>46239</v>
      </c>
      <c r="F312" t="inlineStr">
        <is>
          <t>VÄSTRA GÖTALANDS LÄN</t>
        </is>
      </c>
      <c r="G312" t="inlineStr">
        <is>
          <t>TIDAHOLM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45362</v>
      </c>
      <c r="E313" s="1" t="n">
        <v>46239</v>
      </c>
      <c r="F313" t="inlineStr">
        <is>
          <t>VÄSTRA GÖTALANDS LÄN</t>
        </is>
      </c>
      <c r="G313" t="inlineStr">
        <is>
          <t>TIDAHOLM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46239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Kyrkan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46239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46239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Kyrkan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61362-2022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44915</v>
      </c>
      <c r="E317" s="1" t="n">
        <v>46239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46239</v>
      </c>
      <c r="F318" t="inlineStr">
        <is>
          <t>VÄSTRA GÖTALANDS LÄN</t>
        </is>
      </c>
      <c r="G318" t="inlineStr">
        <is>
          <t>TIDAHOLM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11291-2026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46080</v>
      </c>
      <c r="E319" s="1" t="n">
        <v>46239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11296-2026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46080</v>
      </c>
      <c r="E320" s="1" t="n">
        <v>46239</v>
      </c>
      <c r="F320" t="inlineStr">
        <is>
          <t>VÄSTRA GÖTALANDS LÄN</t>
        </is>
      </c>
      <c r="G320" t="inlineStr">
        <is>
          <t>TIDAHOLM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46239</v>
      </c>
      <c r="F321" t="inlineStr">
        <is>
          <t>VÄSTRA GÖTALANDS LÄN</t>
        </is>
      </c>
      <c r="G321" t="inlineStr">
        <is>
          <t>TIDAHOLM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46239</v>
      </c>
      <c r="F322" t="inlineStr">
        <is>
          <t>VÄSTRA GÖTALANDS LÄN</t>
        </is>
      </c>
      <c r="G322" t="inlineStr">
        <is>
          <t>TIDAHOLM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46239</v>
      </c>
      <c r="F323" t="inlineStr">
        <is>
          <t>VÄSTRA GÖTALANDS LÄN</t>
        </is>
      </c>
      <c r="G323" t="inlineStr">
        <is>
          <t>TIDAHOLM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46239</v>
      </c>
      <c r="F324" t="inlineStr">
        <is>
          <t>VÄSTRA GÖTALANDS LÄN</t>
        </is>
      </c>
      <c r="G324" t="inlineStr">
        <is>
          <t>TIDAHOLM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44831</v>
      </c>
      <c r="E325" s="1" t="n">
        <v>46239</v>
      </c>
      <c r="F325" t="inlineStr">
        <is>
          <t>VÄSTRA GÖTALANDS LÄN</t>
        </is>
      </c>
      <c r="G325" t="inlineStr">
        <is>
          <t>TIDAHOLM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46239</v>
      </c>
      <c r="F326" t="inlineStr">
        <is>
          <t>VÄSTRA GÖTALANDS LÄN</t>
        </is>
      </c>
      <c r="G326" t="inlineStr">
        <is>
          <t>TIDAHOLM</t>
        </is>
      </c>
      <c r="I326" t="n">
        <v>13.7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46239</v>
      </c>
      <c r="F327" t="inlineStr">
        <is>
          <t>VÄSTRA GÖTALANDS LÄN</t>
        </is>
      </c>
      <c r="G327" t="inlineStr">
        <is>
          <t>TIDAHOLM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46239</v>
      </c>
      <c r="F328" t="inlineStr">
        <is>
          <t>VÄSTRA GÖTALANDS LÄN</t>
        </is>
      </c>
      <c r="G328" t="inlineStr">
        <is>
          <t>TIDAHOLM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46239</v>
      </c>
      <c r="F329" t="inlineStr">
        <is>
          <t>VÄSTRA GÖTALANDS LÄN</t>
        </is>
      </c>
      <c r="G329" t="inlineStr">
        <is>
          <t>TIDAHOLM</t>
        </is>
      </c>
      <c r="I329" t="n">
        <v>16.2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45276-2024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45576</v>
      </c>
      <c r="E330" s="1" t="n">
        <v>46239</v>
      </c>
      <c r="F330" t="inlineStr">
        <is>
          <t>VÄSTRA GÖTALANDS LÄN</t>
        </is>
      </c>
      <c r="G330" t="inlineStr">
        <is>
          <t>TIDAHOLM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46239</v>
      </c>
      <c r="F331" t="inlineStr">
        <is>
          <t>VÄSTRA GÖTALANDS LÄN</t>
        </is>
      </c>
      <c r="G331" t="inlineStr">
        <is>
          <t>TIDAHOLM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46239</v>
      </c>
      <c r="F332" t="inlineStr">
        <is>
          <t>VÄSTRA GÖTALANDS LÄN</t>
        </is>
      </c>
      <c r="G332" t="inlineStr">
        <is>
          <t>TIDAHOLM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46239</v>
      </c>
      <c r="F333" t="inlineStr">
        <is>
          <t>VÄSTRA GÖTALANDS LÄN</t>
        </is>
      </c>
      <c r="G333" t="inlineStr">
        <is>
          <t>TIDAHOLM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45608</v>
      </c>
      <c r="E334" s="1" t="n">
        <v>46239</v>
      </c>
      <c r="F334" t="inlineStr">
        <is>
          <t>VÄSTRA GÖTALANDS LÄN</t>
        </is>
      </c>
      <c r="G334" t="inlineStr">
        <is>
          <t>TIDAHOLM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72683-2021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44546</v>
      </c>
      <c r="E335" s="1" t="n">
        <v>46239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45105</v>
      </c>
      <c r="E336" s="1" t="n">
        <v>46239</v>
      </c>
      <c r="F336" t="inlineStr">
        <is>
          <t>VÄSTRA GÖTALANDS LÄN</t>
        </is>
      </c>
      <c r="G336" t="inlineStr">
        <is>
          <t>TIDAHOLM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46239</v>
      </c>
      <c r="F337" t="inlineStr">
        <is>
          <t>VÄSTRA GÖTALANDS LÄN</t>
        </is>
      </c>
      <c r="G337" t="inlineStr">
        <is>
          <t>TIDAHOLM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55780-2021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44476</v>
      </c>
      <c r="E338" s="1" t="n">
        <v>46239</v>
      </c>
      <c r="F338" t="inlineStr">
        <is>
          <t>VÄSTRA GÖTALANDS LÄN</t>
        </is>
      </c>
      <c r="G338" t="inlineStr">
        <is>
          <t>TIDAHOLM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46239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46239</v>
      </c>
      <c r="F340" t="inlineStr">
        <is>
          <t>VÄSTRA GÖTALANDS LÄN</t>
        </is>
      </c>
      <c r="G340" t="inlineStr">
        <is>
          <t>TIDAHOLM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46239</v>
      </c>
      <c r="F341" t="inlineStr">
        <is>
          <t>VÄSTRA GÖTALANDS LÄN</t>
        </is>
      </c>
      <c r="G341" t="inlineStr">
        <is>
          <t>TIDAHOLM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45443</v>
      </c>
      <c r="E342" s="1" t="n">
        <v>46239</v>
      </c>
      <c r="F342" t="inlineStr">
        <is>
          <t>VÄSTRA GÖTALANDS LÄN</t>
        </is>
      </c>
      <c r="G342" t="inlineStr">
        <is>
          <t>TIDAHOLM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46123</v>
      </c>
      <c r="E343" s="1" t="n">
        <v>46239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46239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46239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45155</v>
      </c>
      <c r="E346" s="1" t="n">
        <v>46239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45047</v>
      </c>
      <c r="E347" s="1" t="n">
        <v>46239</v>
      </c>
      <c r="F347" t="inlineStr">
        <is>
          <t>VÄSTRA GÖTALANDS LÄN</t>
        </is>
      </c>
      <c r="G347" t="inlineStr">
        <is>
          <t>TIDAHOLM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46239</v>
      </c>
      <c r="F348" t="inlineStr">
        <is>
          <t>VÄSTRA GÖTALANDS LÄN</t>
        </is>
      </c>
      <c r="G348" t="inlineStr">
        <is>
          <t>TIDAHOLM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45758</v>
      </c>
      <c r="E349" s="1" t="n">
        <v>46239</v>
      </c>
      <c r="F349" t="inlineStr">
        <is>
          <t>VÄSTRA GÖTALANDS LÄN</t>
        </is>
      </c>
      <c r="G349" t="inlineStr">
        <is>
          <t>TIDAHOLM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46131</v>
      </c>
      <c r="E350" s="1" t="n">
        <v>46239</v>
      </c>
      <c r="F350" t="inlineStr">
        <is>
          <t>VÄSTRA GÖTALANDS LÄN</t>
        </is>
      </c>
      <c r="G350" t="inlineStr">
        <is>
          <t>TIDAHOLM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45669</v>
      </c>
      <c r="E351" s="1" t="n">
        <v>46239</v>
      </c>
      <c r="F351" t="inlineStr">
        <is>
          <t>VÄSTRA GÖTALANDS LÄN</t>
        </is>
      </c>
      <c r="G351" t="inlineStr">
        <is>
          <t>TIDAHOLM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39297-2022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44817</v>
      </c>
      <c r="E352" s="1" t="n">
        <v>46239</v>
      </c>
      <c r="F352" t="inlineStr">
        <is>
          <t>VÄSTRA GÖTALANDS LÄN</t>
        </is>
      </c>
      <c r="G352" t="inlineStr">
        <is>
          <t>TIDAHOLM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45630</v>
      </c>
      <c r="E353" s="1" t="n">
        <v>46239</v>
      </c>
      <c r="F353" t="inlineStr">
        <is>
          <t>VÄSTRA GÖTALANDS LÄN</t>
        </is>
      </c>
      <c r="G353" t="inlineStr">
        <is>
          <t>TIDAHOLM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46239</v>
      </c>
      <c r="F354" t="inlineStr">
        <is>
          <t>VÄSTRA GÖTALANDS LÄN</t>
        </is>
      </c>
      <c r="G354" t="inlineStr">
        <is>
          <t>TIDAHOLM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45721</v>
      </c>
      <c r="E355" s="1" t="n">
        <v>46239</v>
      </c>
      <c r="F355" t="inlineStr">
        <is>
          <t>VÄSTRA GÖTALANDS LÄN</t>
        </is>
      </c>
      <c r="G355" t="inlineStr">
        <is>
          <t>TIDAHOLM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10273-2022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46239</v>
      </c>
      <c r="F356" t="inlineStr">
        <is>
          <t>VÄSTRA GÖTALANDS LÄN</t>
        </is>
      </c>
      <c r="G356" t="inlineStr">
        <is>
          <t>TIDAHOLM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46239</v>
      </c>
      <c r="F357" t="inlineStr">
        <is>
          <t>VÄSTRA GÖTALANDS LÄN</t>
        </is>
      </c>
      <c r="G357" t="inlineStr">
        <is>
          <t>TIDAHOLM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45030</v>
      </c>
      <c r="E358" s="1" t="n">
        <v>46239</v>
      </c>
      <c r="F358" t="inlineStr">
        <is>
          <t>VÄSTRA GÖTALANDS LÄN</t>
        </is>
      </c>
      <c r="G358" t="inlineStr">
        <is>
          <t>TIDAHOLM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47912-2023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46239</v>
      </c>
      <c r="F359" t="inlineStr">
        <is>
          <t>VÄSTRA GÖTALANDS LÄN</t>
        </is>
      </c>
      <c r="G359" t="inlineStr">
        <is>
          <t>TIDAHOLM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46239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45594</v>
      </c>
      <c r="E361" s="1" t="n">
        <v>46239</v>
      </c>
      <c r="F361" t="inlineStr">
        <is>
          <t>VÄSTRA GÖTALANDS LÄN</t>
        </is>
      </c>
      <c r="G361" t="inlineStr">
        <is>
          <t>TIDAHOLM</t>
        </is>
      </c>
      <c r="I361" t="n">
        <v>8.800000000000001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45165-2025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45919</v>
      </c>
      <c r="E362" s="1" t="n">
        <v>46239</v>
      </c>
      <c r="F362" t="inlineStr">
        <is>
          <t>VÄSTRA GÖTALANDS LÄN</t>
        </is>
      </c>
      <c r="G362" t="inlineStr">
        <is>
          <t>TIDAHOLM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46239</v>
      </c>
      <c r="F363" t="inlineStr">
        <is>
          <t>VÄSTRA GÖTALANDS LÄN</t>
        </is>
      </c>
      <c r="G363" t="inlineStr">
        <is>
          <t>TIDAHOLM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45205</v>
      </c>
      <c r="E364" s="1" t="n">
        <v>46239</v>
      </c>
      <c r="F364" t="inlineStr">
        <is>
          <t>VÄSTRA GÖTALANDS LÄN</t>
        </is>
      </c>
      <c r="G364" t="inlineStr">
        <is>
          <t>TIDAHOLM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54122-2023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45232</v>
      </c>
      <c r="E365" s="1" t="n">
        <v>46239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Kyrkan</t>
        </is>
      </c>
      <c r="I365" t="n">
        <v>22.5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44610</v>
      </c>
      <c r="E366" s="1" t="n">
        <v>46239</v>
      </c>
      <c r="F366" t="inlineStr">
        <is>
          <t>VÄSTRA GÖTALANDS LÄN</t>
        </is>
      </c>
      <c r="G366" t="inlineStr">
        <is>
          <t>TIDAHOLM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45623</v>
      </c>
      <c r="E367" s="1" t="n">
        <v>46239</v>
      </c>
      <c r="F367" t="inlineStr">
        <is>
          <t>VÄSTRA GÖTALANDS LÄN</t>
        </is>
      </c>
      <c r="G367" t="inlineStr">
        <is>
          <t>TIDAHOLM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34842-2024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45526</v>
      </c>
      <c r="E368" s="1" t="n">
        <v>46239</v>
      </c>
      <c r="F368" t="inlineStr">
        <is>
          <t>VÄSTRA GÖTALANDS LÄN</t>
        </is>
      </c>
      <c r="G368" t="inlineStr">
        <is>
          <t>TIDAHOLM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46239</v>
      </c>
      <c r="F369" t="inlineStr">
        <is>
          <t>VÄSTRA GÖTALANDS LÄN</t>
        </is>
      </c>
      <c r="G369" t="inlineStr">
        <is>
          <t>TIDAHOLM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45187</v>
      </c>
      <c r="E370" s="1" t="n">
        <v>46239</v>
      </c>
      <c r="F370" t="inlineStr">
        <is>
          <t>VÄSTRA GÖTALANDS LÄN</t>
        </is>
      </c>
      <c r="G370" t="inlineStr">
        <is>
          <t>TIDAHOLM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46239</v>
      </c>
      <c r="F371" t="inlineStr">
        <is>
          <t>VÄSTRA GÖTALANDS LÄN</t>
        </is>
      </c>
      <c r="G371" t="inlineStr">
        <is>
          <t>TIDAHOLM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46239</v>
      </c>
      <c r="F372" t="inlineStr">
        <is>
          <t>VÄSTRA GÖTALANDS LÄN</t>
        </is>
      </c>
      <c r="G372" t="inlineStr">
        <is>
          <t>TIDAHOLM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45779</v>
      </c>
      <c r="E373" s="1" t="n">
        <v>46239</v>
      </c>
      <c r="F373" t="inlineStr">
        <is>
          <t>VÄSTRA GÖTALANDS LÄN</t>
        </is>
      </c>
      <c r="G373" t="inlineStr">
        <is>
          <t>TIDAHOLM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46239</v>
      </c>
      <c r="F374" t="inlineStr">
        <is>
          <t>VÄSTRA GÖTALANDS LÄN</t>
        </is>
      </c>
      <c r="G374" t="inlineStr">
        <is>
          <t>TIDAHOLM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46239</v>
      </c>
      <c r="F375" t="inlineStr">
        <is>
          <t>VÄSTRA GÖTALANDS LÄN</t>
        </is>
      </c>
      <c r="G375" t="inlineStr">
        <is>
          <t>TIDAHOLM</t>
        </is>
      </c>
      <c r="I375" t="n">
        <v>9.5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45232</v>
      </c>
      <c r="E376" s="1" t="n">
        <v>46239</v>
      </c>
      <c r="F376" t="inlineStr">
        <is>
          <t>VÄSTRA GÖTALANDS LÄN</t>
        </is>
      </c>
      <c r="G376" t="inlineStr">
        <is>
          <t>TIDAHOLM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46239</v>
      </c>
      <c r="F377" t="inlineStr">
        <is>
          <t>VÄSTRA GÖTALANDS LÄN</t>
        </is>
      </c>
      <c r="G377" t="inlineStr">
        <is>
          <t>TIDAHOLM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19572-2022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44693</v>
      </c>
      <c r="E378" s="1" t="n">
        <v>46239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46239</v>
      </c>
      <c r="F379" t="inlineStr">
        <is>
          <t>VÄSTRA GÖTALANDS LÄN</t>
        </is>
      </c>
      <c r="G379" t="inlineStr">
        <is>
          <t>TIDAHOLM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46239</v>
      </c>
      <c r="F380" t="inlineStr">
        <is>
          <t>VÄSTRA GÖTALANDS LÄN</t>
        </is>
      </c>
      <c r="G380" t="inlineStr">
        <is>
          <t>TIDAHOLM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46239</v>
      </c>
      <c r="F381" t="inlineStr">
        <is>
          <t>VÄSTRA GÖTALANDS LÄN</t>
        </is>
      </c>
      <c r="G381" t="inlineStr">
        <is>
          <t>TIDAHOLM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46239</v>
      </c>
      <c r="F382" t="inlineStr">
        <is>
          <t>VÄSTRA GÖTALANDS LÄN</t>
        </is>
      </c>
      <c r="G382" t="inlineStr">
        <is>
          <t>TIDAHOLM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46239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44720</v>
      </c>
      <c r="E384" s="1" t="n">
        <v>46239</v>
      </c>
      <c r="F384" t="inlineStr">
        <is>
          <t>VÄSTRA GÖTALANDS LÄN</t>
        </is>
      </c>
      <c r="G384" t="inlineStr">
        <is>
          <t>TIDAHOLM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18249-2022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44685</v>
      </c>
      <c r="E385" s="1" t="n">
        <v>46239</v>
      </c>
      <c r="F385" t="inlineStr">
        <is>
          <t>VÄSTRA GÖTALANDS LÄN</t>
        </is>
      </c>
      <c r="G385" t="inlineStr">
        <is>
          <t>TIDAHOLM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45752</v>
      </c>
      <c r="E386" s="1" t="n">
        <v>46239</v>
      </c>
      <c r="F386" t="inlineStr">
        <is>
          <t>VÄSTRA GÖTALANDS LÄN</t>
        </is>
      </c>
      <c r="G386" t="inlineStr">
        <is>
          <t>TIDAHOLM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44720</v>
      </c>
      <c r="E387" s="1" t="n">
        <v>46239</v>
      </c>
      <c r="F387" t="inlineStr">
        <is>
          <t>VÄSTRA GÖTALANDS LÄN</t>
        </is>
      </c>
      <c r="G387" t="inlineStr">
        <is>
          <t>TIDAHOLM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46239</v>
      </c>
      <c r="F388" t="inlineStr">
        <is>
          <t>VÄSTRA GÖTALANDS LÄN</t>
        </is>
      </c>
      <c r="G388" t="inlineStr">
        <is>
          <t>TIDAHOLM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46239</v>
      </c>
      <c r="F389" t="inlineStr">
        <is>
          <t>VÄSTRA GÖTALANDS LÄN</t>
        </is>
      </c>
      <c r="G389" t="inlineStr">
        <is>
          <t>TIDAHOLM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45265</v>
      </c>
      <c r="E390" s="1" t="n">
        <v>46239</v>
      </c>
      <c r="F390" t="inlineStr">
        <is>
          <t>VÄSTRA GÖTALANDS LÄN</t>
        </is>
      </c>
      <c r="G390" t="inlineStr">
        <is>
          <t>TIDAHOLM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45314</v>
      </c>
      <c r="E391" s="1" t="n">
        <v>46239</v>
      </c>
      <c r="F391" t="inlineStr">
        <is>
          <t>VÄSTRA GÖTALANDS LÄN</t>
        </is>
      </c>
      <c r="G391" t="inlineStr">
        <is>
          <t>TIDAHOLM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44973</v>
      </c>
      <c r="E392" s="1" t="n">
        <v>46239</v>
      </c>
      <c r="F392" t="inlineStr">
        <is>
          <t>VÄSTRA GÖTALANDS LÄN</t>
        </is>
      </c>
      <c r="G392" t="inlineStr">
        <is>
          <t>TIDAHOLM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46239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46239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46239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46239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2026-08-05T20:39:56Z</dcterms:created>
  <dcterms:modified xmlns:dcterms="http://purl.org/dc/terms/" xmlns:xsi="http://www.w3.org/2001/XMLSchema-instance" xsi:type="dcterms:W3CDTF">2026-08-05T20:39:56Z</dcterms:modified>
</cp:coreProperties>
</file>