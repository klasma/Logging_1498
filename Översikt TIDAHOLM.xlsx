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46281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46281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46281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46281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46281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46281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46281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46281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50293-2022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44865</v>
      </c>
      <c r="E17" s="1" t="n">
        <v>46281</v>
      </c>
      <c r="F17" t="inlineStr">
        <is>
          <t>VÄSTRA GÖTALANDS LÄN</t>
        </is>
      </c>
      <c r="G17" t="inlineStr">
        <is>
          <t>TIDAHOLM</t>
        </is>
      </c>
      <c r="I17" t="n">
        <v>3.5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HYPERLINK("https://klasma.github.io/Logging_1498/artfynd/A 50293-2022 artfynd.xlsx", "A 50293-2022")</f>
        <v/>
      </c>
      <c r="X17">
        <f>HYPERLINK("https://klasma.github.io/Logging_1498/kartor/A 50293-2022 karta.png", "A 50293-2022")</f>
        <v/>
      </c>
      <c r="Y17">
        <f>HYPERLINK("https://klasma.github.io/Logging_1498/kartor_geotiff/A 50293-2022 georefererad karta.tif", "A 50293-2022")</f>
        <v/>
      </c>
      <c r="AA17">
        <f>HYPERLINK("https://klasma.github.io/Logging_1498/klagomål/A 50293-2022 FSC-klagomål.docx", "A 50293-2022")</f>
        <v/>
      </c>
      <c r="AB17">
        <f>HYPERLINK("https://klasma.github.io/Logging_1498/klagomålsmail/A 50293-2022 FSC-klagomål mail.docx", "A 50293-2022")</f>
        <v/>
      </c>
      <c r="AC17">
        <f>HYPERLINK("https://klasma.github.io/Logging_1498/tillsyn/A 50293-2022 tillsynsbegäran.docx", "A 50293-2022")</f>
        <v/>
      </c>
      <c r="AD17">
        <f>HYPERLINK("https://klasma.github.io/Logging_1498/tillsynsmail/A 50293-2022 tillsynsbegäran mail.docx", "A 50293-2022")</f>
        <v/>
      </c>
    </row>
    <row r="18" ht="15" customHeight="1">
      <c r="A18" t="inlineStr">
        <is>
          <t>A 57539-2023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46281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1.7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HYPERLINK("https://klasma.github.io/Logging_1498/artfynd/A 57539-2023 artfynd.xlsx", "A 57539-2023")</f>
        <v/>
      </c>
      <c r="X18">
        <f>HYPERLINK("https://klasma.github.io/Logging_1498/kartor/A 57539-2023 karta.png", "A 57539-2023")</f>
        <v/>
      </c>
      <c r="Y18">
        <f>HYPERLINK("https://klasma.github.io/Logging_1498/kartor_geotiff/A 57539-2023 georefererad karta.tif", "A 57539-2023")</f>
        <v/>
      </c>
      <c r="AA18">
        <f>HYPERLINK("https://klasma.github.io/Logging_1498/klagomål/A 57539-2023 FSC-klagomål.docx", "A 57539-2023")</f>
        <v/>
      </c>
      <c r="AB18">
        <f>HYPERLINK("https://klasma.github.io/Logging_1498/klagomålsmail/A 57539-2023 FSC-klagomål mail.docx", "A 57539-2023")</f>
        <v/>
      </c>
      <c r="AC18">
        <f>HYPERLINK("https://klasma.github.io/Logging_1498/tillsyn/A 57539-2023 tillsynsbegäran.docx", "A 57539-2023")</f>
        <v/>
      </c>
      <c r="AD18">
        <f>HYPERLINK("https://klasma.github.io/Logging_1498/tillsynsmail/A 57539-2023 tillsynsbegäran mail.docx", "A 57539-2023")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46281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46281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46281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46281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46281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46281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46281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46281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46281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46281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32570-2022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46281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46281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46281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44573</v>
      </c>
      <c r="E35" s="1" t="n">
        <v>46281</v>
      </c>
      <c r="F35" t="inlineStr">
        <is>
          <t>VÄSTRA GÖTALANDS LÄN</t>
        </is>
      </c>
      <c r="G35" t="inlineStr">
        <is>
          <t>TIDAHOLM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46281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46281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46281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46281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46281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46281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46281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46281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46281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46281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46281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46281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46281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46281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46281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46281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46281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46281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46281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46281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46281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46281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46281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46281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46281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46281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46281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46281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46281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46281</v>
      </c>
      <c r="F65" t="inlineStr">
        <is>
          <t>VÄSTRA GÖTALANDS LÄN</t>
        </is>
      </c>
      <c r="G65" t="inlineStr">
        <is>
          <t>TIDAHOLM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46281</v>
      </c>
      <c r="F66" t="inlineStr">
        <is>
          <t>VÄSTRA GÖTALANDS LÄN</t>
        </is>
      </c>
      <c r="G66" t="inlineStr">
        <is>
          <t>TIDAHOLM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27822-2023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46281</v>
      </c>
      <c r="F67" t="inlineStr">
        <is>
          <t>VÄSTRA GÖTALANDS LÄN</t>
        </is>
      </c>
      <c r="G67" t="inlineStr">
        <is>
          <t>TIDAHOLM</t>
        </is>
      </c>
      <c r="H67" t="inlineStr">
        <is>
          <t>Kyrkan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45335</v>
      </c>
      <c r="E68" s="1" t="n">
        <v>46281</v>
      </c>
      <c r="F68" t="inlineStr">
        <is>
          <t>VÄSTRA GÖTALANDS LÄN</t>
        </is>
      </c>
      <c r="G68" t="inlineStr">
        <is>
          <t>TIDAHOLM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46281</v>
      </c>
      <c r="F69" t="inlineStr">
        <is>
          <t>VÄSTRA GÖTALANDS LÄN</t>
        </is>
      </c>
      <c r="G69" t="inlineStr">
        <is>
          <t>TIDAHOLM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46281</v>
      </c>
      <c r="F70" t="inlineStr">
        <is>
          <t>VÄSTRA GÖTALANDS LÄN</t>
        </is>
      </c>
      <c r="G70" t="inlineStr">
        <is>
          <t>TIDAHOLM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46281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45204</v>
      </c>
      <c r="E72" s="1" t="n">
        <v>46281</v>
      </c>
      <c r="F72" t="inlineStr">
        <is>
          <t>VÄSTRA GÖTALANDS LÄN</t>
        </is>
      </c>
      <c r="G72" t="inlineStr">
        <is>
          <t>TIDAHOLM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44720</v>
      </c>
      <c r="E73" s="1" t="n">
        <v>46281</v>
      </c>
      <c r="F73" t="inlineStr">
        <is>
          <t>VÄSTRA GÖTALANDS LÄN</t>
        </is>
      </c>
      <c r="G73" t="inlineStr">
        <is>
          <t>TIDAHOLM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46281</v>
      </c>
      <c r="F74" t="inlineStr">
        <is>
          <t>VÄSTRA GÖTALANDS LÄN</t>
        </is>
      </c>
      <c r="G74" t="inlineStr">
        <is>
          <t>TIDAHOLM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46281</v>
      </c>
      <c r="F75" t="inlineStr">
        <is>
          <t>VÄSTRA GÖTALANDS LÄN</t>
        </is>
      </c>
      <c r="G75" t="inlineStr">
        <is>
          <t>TIDAHOLM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46281</v>
      </c>
      <c r="F76" t="inlineStr">
        <is>
          <t>VÄSTRA GÖTALANDS LÄN</t>
        </is>
      </c>
      <c r="G76" t="inlineStr">
        <is>
          <t>TIDAHOLM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46281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46281</v>
      </c>
      <c r="F78" t="inlineStr">
        <is>
          <t>VÄSTRA GÖTALANDS LÄN</t>
        </is>
      </c>
      <c r="G78" t="inlineStr">
        <is>
          <t>TIDAHOLM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46281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46281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46281</v>
      </c>
      <c r="F81" t="inlineStr">
        <is>
          <t>VÄSTRA GÖTALANDS LÄN</t>
        </is>
      </c>
      <c r="G81" t="inlineStr">
        <is>
          <t>TIDAHOLM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45752</v>
      </c>
      <c r="E82" s="1" t="n">
        <v>46281</v>
      </c>
      <c r="F82" t="inlineStr">
        <is>
          <t>VÄSTRA GÖTALANDS LÄN</t>
        </is>
      </c>
      <c r="G82" t="inlineStr">
        <is>
          <t>TIDAHOLM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44720</v>
      </c>
      <c r="E83" s="1" t="n">
        <v>46281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46281</v>
      </c>
      <c r="F84" t="inlineStr">
        <is>
          <t>VÄSTRA GÖTALANDS LÄN</t>
        </is>
      </c>
      <c r="G84" t="inlineStr">
        <is>
          <t>TIDAHOLM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50724-2021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44456</v>
      </c>
      <c r="E85" s="1" t="n">
        <v>46281</v>
      </c>
      <c r="F85" t="inlineStr">
        <is>
          <t>VÄSTRA GÖTALANDS LÄN</t>
        </is>
      </c>
      <c r="G85" t="inlineStr">
        <is>
          <t>TIDAHOLM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44456</v>
      </c>
      <c r="E86" s="1" t="n">
        <v>46281</v>
      </c>
      <c r="F86" t="inlineStr">
        <is>
          <t>VÄSTRA GÖTALANDS LÄN</t>
        </is>
      </c>
      <c r="G86" t="inlineStr">
        <is>
          <t>TIDAHOLM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46281</v>
      </c>
      <c r="F87" t="inlineStr">
        <is>
          <t>VÄSTRA GÖTALANDS LÄN</t>
        </is>
      </c>
      <c r="G87" t="inlineStr">
        <is>
          <t>TIDAHOLM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46281</v>
      </c>
      <c r="F88" t="inlineStr">
        <is>
          <t>VÄSTRA GÖTALANDS LÄN</t>
        </is>
      </c>
      <c r="G88" t="inlineStr">
        <is>
          <t>TIDAHOLM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46281</v>
      </c>
      <c r="F89" t="inlineStr">
        <is>
          <t>VÄSTRA GÖTALANDS LÄN</t>
        </is>
      </c>
      <c r="G89" t="inlineStr">
        <is>
          <t>TIDAHOLM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9247-2025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46281</v>
      </c>
      <c r="F90" t="inlineStr">
        <is>
          <t>VÄSTRA GÖTALANDS LÄN</t>
        </is>
      </c>
      <c r="G90" t="inlineStr">
        <is>
          <t>TIDAHOLM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46281</v>
      </c>
      <c r="F91" t="inlineStr">
        <is>
          <t>VÄSTRA GÖTALANDS LÄN</t>
        </is>
      </c>
      <c r="G91" t="inlineStr">
        <is>
          <t>TIDAHOLM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46281</v>
      </c>
      <c r="F92" t="inlineStr">
        <is>
          <t>VÄSTRA GÖTALANDS LÄN</t>
        </is>
      </c>
      <c r="G92" t="inlineStr">
        <is>
          <t>TIDAHOLM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45882</v>
      </c>
      <c r="E93" s="1" t="n">
        <v>46281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Allmännings- och besparingsskogar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46281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46281</v>
      </c>
      <c r="F95" t="inlineStr">
        <is>
          <t>VÄSTRA GÖTALANDS LÄN</t>
        </is>
      </c>
      <c r="G95" t="inlineStr">
        <is>
          <t>TIDAHOLM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46281</v>
      </c>
      <c r="F96" t="inlineStr">
        <is>
          <t>VÄSTRA GÖTALANDS LÄN</t>
        </is>
      </c>
      <c r="G96" t="inlineStr">
        <is>
          <t>TIDAHOLM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45314</v>
      </c>
      <c r="E97" s="1" t="n">
        <v>46281</v>
      </c>
      <c r="F97" t="inlineStr">
        <is>
          <t>VÄSTRA GÖTALANDS LÄN</t>
        </is>
      </c>
      <c r="G97" t="inlineStr">
        <is>
          <t>TIDAHOLM</t>
        </is>
      </c>
      <c r="I97" t="n">
        <v>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7766-2023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44973</v>
      </c>
      <c r="E98" s="1" t="n">
        <v>46281</v>
      </c>
      <c r="F98" t="inlineStr">
        <is>
          <t>VÄSTRA GÖTALANDS LÄN</t>
        </is>
      </c>
      <c r="G98" t="inlineStr">
        <is>
          <t>TIDAHOLM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46281</v>
      </c>
      <c r="F99" t="inlineStr">
        <is>
          <t>VÄSTRA GÖTALANDS LÄN</t>
        </is>
      </c>
      <c r="G99" t="inlineStr">
        <is>
          <t>TIDAHOLM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46281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46281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45336</v>
      </c>
      <c r="E102" s="1" t="n">
        <v>46281</v>
      </c>
      <c r="F102" t="inlineStr">
        <is>
          <t>VÄSTRA GÖTALANDS LÄN</t>
        </is>
      </c>
      <c r="G102" t="inlineStr">
        <is>
          <t>TIDAHOLM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45474</v>
      </c>
      <c r="E103" s="1" t="n">
        <v>46281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7917-2023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44973</v>
      </c>
      <c r="E104" s="1" t="n">
        <v>46281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46281</v>
      </c>
      <c r="F105" t="inlineStr">
        <is>
          <t>VÄSTRA GÖTALANDS LÄN</t>
        </is>
      </c>
      <c r="G105" t="inlineStr">
        <is>
          <t>TIDAHOLM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45311</v>
      </c>
      <c r="E106" s="1" t="n">
        <v>46281</v>
      </c>
      <c r="F106" t="inlineStr">
        <is>
          <t>VÄSTRA GÖTALANDS LÄN</t>
        </is>
      </c>
      <c r="G106" t="inlineStr">
        <is>
          <t>TIDAHOLM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45576</v>
      </c>
      <c r="E107" s="1" t="n">
        <v>46281</v>
      </c>
      <c r="F107" t="inlineStr">
        <is>
          <t>VÄSTRA GÖTALANDS LÄN</t>
        </is>
      </c>
      <c r="G107" t="inlineStr">
        <is>
          <t>TIDAHOLM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46281</v>
      </c>
      <c r="F108" t="inlineStr">
        <is>
          <t>VÄSTRA GÖTALANDS LÄN</t>
        </is>
      </c>
      <c r="G108" t="inlineStr">
        <is>
          <t>TIDAHOLM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46281</v>
      </c>
      <c r="F109" t="inlineStr">
        <is>
          <t>VÄSTRA GÖTALANDS LÄN</t>
        </is>
      </c>
      <c r="G109" t="inlineStr">
        <is>
          <t>TIDAHOLM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46281</v>
      </c>
      <c r="F110" t="inlineStr">
        <is>
          <t>VÄSTRA GÖTALANDS LÄN</t>
        </is>
      </c>
      <c r="G110" t="inlineStr">
        <is>
          <t>TIDAHOLM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11291-2026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46080</v>
      </c>
      <c r="E111" s="1" t="n">
        <v>46281</v>
      </c>
      <c r="F111" t="inlineStr">
        <is>
          <t>VÄSTRA GÖTALANDS LÄN</t>
        </is>
      </c>
      <c r="G111" t="inlineStr">
        <is>
          <t>TIDAHOLM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11296-2026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46080</v>
      </c>
      <c r="E112" s="1" t="n">
        <v>46281</v>
      </c>
      <c r="F112" t="inlineStr">
        <is>
          <t>VÄSTRA GÖTALANDS LÄN</t>
        </is>
      </c>
      <c r="G112" t="inlineStr">
        <is>
          <t>TIDAHOLM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46084</v>
      </c>
      <c r="E113" s="1" t="n">
        <v>46281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11717-2026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46084</v>
      </c>
      <c r="E114" s="1" t="n">
        <v>46281</v>
      </c>
      <c r="F114" t="inlineStr">
        <is>
          <t>VÄSTRA GÖTALANDS LÄN</t>
        </is>
      </c>
      <c r="G114" t="inlineStr">
        <is>
          <t>TIDAHOLM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46084</v>
      </c>
      <c r="E115" s="1" t="n">
        <v>46281</v>
      </c>
      <c r="F115" t="inlineStr">
        <is>
          <t>VÄSTRA GÖTALANDS LÄN</t>
        </is>
      </c>
      <c r="G115" t="inlineStr">
        <is>
          <t>TIDAHOLM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46281</v>
      </c>
      <c r="F116" t="inlineStr">
        <is>
          <t>VÄSTRA GÖTALANDS LÄN</t>
        </is>
      </c>
      <c r="G116" t="inlineStr">
        <is>
          <t>TIDAHOLM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46281</v>
      </c>
      <c r="F117" t="inlineStr">
        <is>
          <t>VÄSTRA GÖTALANDS LÄN</t>
        </is>
      </c>
      <c r="G117" t="inlineStr">
        <is>
          <t>TIDAHOLM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46281</v>
      </c>
      <c r="F118" t="inlineStr">
        <is>
          <t>VÄSTRA GÖTALANDS LÄN</t>
        </is>
      </c>
      <c r="G118" t="inlineStr">
        <is>
          <t>TIDAHOLM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46281</v>
      </c>
      <c r="F119" t="inlineStr">
        <is>
          <t>VÄSTRA GÖTALANDS LÄN</t>
        </is>
      </c>
      <c r="G119" t="inlineStr">
        <is>
          <t>TIDAHOLM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45485</v>
      </c>
      <c r="E120" s="1" t="n">
        <v>46281</v>
      </c>
      <c r="F120" t="inlineStr">
        <is>
          <t>VÄSTRA GÖTALANDS LÄN</t>
        </is>
      </c>
      <c r="G120" t="inlineStr">
        <is>
          <t>TIDAHOLM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46281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46281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46281</v>
      </c>
      <c r="F123" t="inlineStr">
        <is>
          <t>VÄSTRA GÖTALANDS LÄN</t>
        </is>
      </c>
      <c r="G123" t="inlineStr">
        <is>
          <t>TIDAHOLM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18095-2024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46281</v>
      </c>
      <c r="F124" t="inlineStr">
        <is>
          <t>VÄSTRA GÖTALANDS LÄN</t>
        </is>
      </c>
      <c r="G124" t="inlineStr">
        <is>
          <t>TIDAHOLM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46281</v>
      </c>
      <c r="F125" t="inlineStr">
        <is>
          <t>VÄSTRA GÖTALANDS LÄN</t>
        </is>
      </c>
      <c r="G125" t="inlineStr">
        <is>
          <t>TIDAHOLM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46281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Kyrkan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45483</v>
      </c>
      <c r="E127" s="1" t="n">
        <v>46281</v>
      </c>
      <c r="F127" t="inlineStr">
        <is>
          <t>VÄSTRA GÖTALANDS LÄN</t>
        </is>
      </c>
      <c r="G127" t="inlineStr">
        <is>
          <t>TIDAHOLM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46281</v>
      </c>
      <c r="F128" t="inlineStr">
        <is>
          <t>VÄSTRA GÖTALANDS LÄN</t>
        </is>
      </c>
      <c r="G128" t="inlineStr">
        <is>
          <t>TIDAHOLM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46281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46281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46281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60646-2022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44911</v>
      </c>
      <c r="E132" s="1" t="n">
        <v>46281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46281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46281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44630</v>
      </c>
      <c r="E135" s="1" t="n">
        <v>46281</v>
      </c>
      <c r="F135" t="inlineStr">
        <is>
          <t>VÄSTRA GÖTALANDS LÄN</t>
        </is>
      </c>
      <c r="G135" t="inlineStr">
        <is>
          <t>TIDAHOLM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46281</v>
      </c>
      <c r="F136" t="inlineStr">
        <is>
          <t>VÄSTRA GÖTALANDS LÄN</t>
        </is>
      </c>
      <c r="G136" t="inlineStr">
        <is>
          <t>TIDAHOLM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46281</v>
      </c>
      <c r="F137" t="inlineStr">
        <is>
          <t>VÄSTRA GÖTALANDS LÄN</t>
        </is>
      </c>
      <c r="G137" t="inlineStr">
        <is>
          <t>TIDAHOLM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46281</v>
      </c>
      <c r="F138" t="inlineStr">
        <is>
          <t>VÄSTRA GÖTALANDS LÄN</t>
        </is>
      </c>
      <c r="G138" t="inlineStr">
        <is>
          <t>TIDAHOLM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46281</v>
      </c>
      <c r="F139" t="inlineStr">
        <is>
          <t>VÄSTRA GÖTALANDS LÄN</t>
        </is>
      </c>
      <c r="G139" t="inlineStr">
        <is>
          <t>TIDAHOLM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46281</v>
      </c>
      <c r="F140" t="inlineStr">
        <is>
          <t>VÄSTRA GÖTALANDS LÄN</t>
        </is>
      </c>
      <c r="G140" t="inlineStr">
        <is>
          <t>TIDAHOLM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46281</v>
      </c>
      <c r="F141" t="inlineStr">
        <is>
          <t>VÄSTRA GÖTALANDS LÄN</t>
        </is>
      </c>
      <c r="G141" t="inlineStr">
        <is>
          <t>TIDAHOLM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37934-2023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45160</v>
      </c>
      <c r="E142" s="1" t="n">
        <v>46281</v>
      </c>
      <c r="F142" t="inlineStr">
        <is>
          <t>VÄSTRA GÖTALANDS LÄN</t>
        </is>
      </c>
      <c r="G142" t="inlineStr">
        <is>
          <t>TIDAHOLM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45007</v>
      </c>
      <c r="E143" s="1" t="n">
        <v>46281</v>
      </c>
      <c r="F143" t="inlineStr">
        <is>
          <t>VÄSTRA GÖTALANDS LÄN</t>
        </is>
      </c>
      <c r="G143" t="inlineStr">
        <is>
          <t>TIDAHOLM</t>
        </is>
      </c>
      <c r="I143" t="n">
        <v>13.8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60207-2022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44910</v>
      </c>
      <c r="E144" s="1" t="n">
        <v>46281</v>
      </c>
      <c r="F144" t="inlineStr">
        <is>
          <t>VÄSTRA GÖTALANDS LÄN</t>
        </is>
      </c>
      <c r="G144" t="inlineStr">
        <is>
          <t>TIDAHOLM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46114</v>
      </c>
      <c r="E145" s="1" t="n">
        <v>46281</v>
      </c>
      <c r="F145" t="inlineStr">
        <is>
          <t>VÄSTRA GÖTALANDS LÄN</t>
        </is>
      </c>
      <c r="G145" t="inlineStr">
        <is>
          <t>TIDAHOLM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46281</v>
      </c>
      <c r="F146" t="inlineStr">
        <is>
          <t>VÄSTRA GÖTALANDS LÄN</t>
        </is>
      </c>
      <c r="G146" t="inlineStr">
        <is>
          <t>TIDAHOLM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18257-2023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45041</v>
      </c>
      <c r="E147" s="1" t="n">
        <v>46281</v>
      </c>
      <c r="F147" t="inlineStr">
        <is>
          <t>VÄSTRA GÖTALANDS LÄN</t>
        </is>
      </c>
      <c r="G147" t="inlineStr">
        <is>
          <t>TIDAHOLM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44900</v>
      </c>
      <c r="E148" s="1" t="n">
        <v>46281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46281</v>
      </c>
      <c r="F149" t="inlineStr">
        <is>
          <t>VÄSTRA GÖTALANDS LÄN</t>
        </is>
      </c>
      <c r="G149" t="inlineStr">
        <is>
          <t>TIDAHOLM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44985</v>
      </c>
      <c r="E150" s="1" t="n">
        <v>46281</v>
      </c>
      <c r="F150" t="inlineStr">
        <is>
          <t>VÄSTRA GÖTALANDS LÄN</t>
        </is>
      </c>
      <c r="G150" t="inlineStr">
        <is>
          <t>TIDAHOLM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46281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Kyrkan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35479-2023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45146</v>
      </c>
      <c r="E152" s="1" t="n">
        <v>46281</v>
      </c>
      <c r="F152" t="inlineStr">
        <is>
          <t>VÄSTRA GÖTALANDS LÄN</t>
        </is>
      </c>
      <c r="G152" t="inlineStr">
        <is>
          <t>TIDAHOLM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46281</v>
      </c>
      <c r="F153" t="inlineStr">
        <is>
          <t>VÄSTRA GÖTALANDS LÄN</t>
        </is>
      </c>
      <c r="G153" t="inlineStr">
        <is>
          <t>TIDAHOLM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46123</v>
      </c>
      <c r="E154" s="1" t="n">
        <v>46281</v>
      </c>
      <c r="F154" t="inlineStr">
        <is>
          <t>VÄSTRA GÖTALANDS LÄN</t>
        </is>
      </c>
      <c r="G154" t="inlineStr">
        <is>
          <t>TIDAHOLM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45547</v>
      </c>
      <c r="E155" s="1" t="n">
        <v>46281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46281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47370-2025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45930</v>
      </c>
      <c r="E157" s="1" t="n">
        <v>46281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46281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46281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46281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46281</v>
      </c>
      <c r="F161" t="inlineStr">
        <is>
          <t>VÄSTRA GÖTALANDS LÄN</t>
        </is>
      </c>
      <c r="G161" t="inlineStr">
        <is>
          <t>TIDAHOLM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46281</v>
      </c>
      <c r="F162" t="inlineStr">
        <is>
          <t>VÄSTRA GÖTALANDS LÄN</t>
        </is>
      </c>
      <c r="G162" t="inlineStr">
        <is>
          <t>TIDAHOLM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46281</v>
      </c>
      <c r="F163" t="inlineStr">
        <is>
          <t>VÄSTRA GÖTALANDS LÄN</t>
        </is>
      </c>
      <c r="G163" t="inlineStr">
        <is>
          <t>TIDAHOLM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46281</v>
      </c>
      <c r="F164" t="inlineStr">
        <is>
          <t>VÄSTRA GÖTALANDS LÄN</t>
        </is>
      </c>
      <c r="G164" t="inlineStr">
        <is>
          <t>TIDAHOLM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44630</v>
      </c>
      <c r="E165" s="1" t="n">
        <v>46281</v>
      </c>
      <c r="F165" t="inlineStr">
        <is>
          <t>VÄSTRA GÖTALANDS LÄN</t>
        </is>
      </c>
      <c r="G165" t="inlineStr">
        <is>
          <t>TIDAHOLM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46281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45469</v>
      </c>
      <c r="E167" s="1" t="n">
        <v>46281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46131</v>
      </c>
      <c r="E168" s="1" t="n">
        <v>46281</v>
      </c>
      <c r="F168" t="inlineStr">
        <is>
          <t>VÄSTRA GÖTALANDS LÄN</t>
        </is>
      </c>
      <c r="G168" t="inlineStr">
        <is>
          <t>TIDAHOLM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73728-2021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46281</v>
      </c>
      <c r="F169" t="inlineStr">
        <is>
          <t>VÄSTRA GÖTALANDS LÄN</t>
        </is>
      </c>
      <c r="G169" t="inlineStr">
        <is>
          <t>TIDAHOLM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46281</v>
      </c>
      <c r="F170" t="inlineStr">
        <is>
          <t>VÄSTRA GÖTALANDS LÄN</t>
        </is>
      </c>
      <c r="G170" t="inlineStr">
        <is>
          <t>TIDAHOLM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61587-2021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46281</v>
      </c>
      <c r="F171" t="inlineStr">
        <is>
          <t>VÄSTRA GÖTALANDS LÄN</t>
        </is>
      </c>
      <c r="G171" t="inlineStr">
        <is>
          <t>TIDAHOLM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44930</v>
      </c>
      <c r="E172" s="1" t="n">
        <v>46281</v>
      </c>
      <c r="F172" t="inlineStr">
        <is>
          <t>VÄSTRA GÖTALANDS LÄN</t>
        </is>
      </c>
      <c r="G172" t="inlineStr">
        <is>
          <t>TIDAHOLM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46281</v>
      </c>
      <c r="F173" t="inlineStr">
        <is>
          <t>VÄSTRA GÖTALANDS LÄN</t>
        </is>
      </c>
      <c r="G173" t="inlineStr">
        <is>
          <t>TIDAHOLM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15953-2022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44664</v>
      </c>
      <c r="E174" s="1" t="n">
        <v>46281</v>
      </c>
      <c r="F174" t="inlineStr">
        <is>
          <t>VÄSTRA GÖTALANDS LÄN</t>
        </is>
      </c>
      <c r="G174" t="inlineStr">
        <is>
          <t>TIDAHOLM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46281</v>
      </c>
      <c r="F175" t="inlineStr">
        <is>
          <t>VÄSTRA GÖTALANDS LÄN</t>
        </is>
      </c>
      <c r="G175" t="inlineStr">
        <is>
          <t>TIDAHOLM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46281</v>
      </c>
      <c r="F176" t="inlineStr">
        <is>
          <t>VÄSTRA GÖTALANDS LÄN</t>
        </is>
      </c>
      <c r="G176" t="inlineStr">
        <is>
          <t>TIDAHOLM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45048</v>
      </c>
      <c r="E177" s="1" t="n">
        <v>46281</v>
      </c>
      <c r="F177" t="inlineStr">
        <is>
          <t>VÄSTRA GÖTALANDS LÄN</t>
        </is>
      </c>
      <c r="G177" t="inlineStr">
        <is>
          <t>TIDAHOLM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45665</v>
      </c>
      <c r="E178" s="1" t="n">
        <v>46281</v>
      </c>
      <c r="F178" t="inlineStr">
        <is>
          <t>VÄSTRA GÖTALANDS LÄN</t>
        </is>
      </c>
      <c r="G178" t="inlineStr">
        <is>
          <t>TIDAHOLM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45226</v>
      </c>
      <c r="E179" s="1" t="n">
        <v>46281</v>
      </c>
      <c r="F179" t="inlineStr">
        <is>
          <t>VÄSTRA GÖTALANDS LÄN</t>
        </is>
      </c>
      <c r="G179" t="inlineStr">
        <is>
          <t>TIDAHOLM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44622</v>
      </c>
      <c r="E180" s="1" t="n">
        <v>46281</v>
      </c>
      <c r="F180" t="inlineStr">
        <is>
          <t>VÄSTRA GÖTALANDS LÄN</t>
        </is>
      </c>
      <c r="G180" t="inlineStr">
        <is>
          <t>TIDAHOLM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45684</v>
      </c>
      <c r="E181" s="1" t="n">
        <v>46281</v>
      </c>
      <c r="F181" t="inlineStr">
        <is>
          <t>VÄSTRA GÖTALANDS LÄN</t>
        </is>
      </c>
      <c r="G181" t="inlineStr">
        <is>
          <t>TIDAHOLM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46281</v>
      </c>
      <c r="F182" t="inlineStr">
        <is>
          <t>VÄSTRA GÖTALANDS LÄN</t>
        </is>
      </c>
      <c r="G182" t="inlineStr">
        <is>
          <t>TIDAHOLM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45847</v>
      </c>
      <c r="E183" s="1" t="n">
        <v>46281</v>
      </c>
      <c r="F183" t="inlineStr">
        <is>
          <t>VÄSTRA GÖTALANDS LÄN</t>
        </is>
      </c>
      <c r="G183" t="inlineStr">
        <is>
          <t>TIDAHOLM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49865-2024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45596</v>
      </c>
      <c r="E184" s="1" t="n">
        <v>46281</v>
      </c>
      <c r="F184" t="inlineStr">
        <is>
          <t>VÄSTRA GÖTALANDS LÄN</t>
        </is>
      </c>
      <c r="G184" t="inlineStr">
        <is>
          <t>TIDAHOLM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45919</v>
      </c>
      <c r="E185" s="1" t="n">
        <v>46281</v>
      </c>
      <c r="F185" t="inlineStr">
        <is>
          <t>VÄSTRA GÖTALANDS LÄN</t>
        </is>
      </c>
      <c r="G185" t="inlineStr">
        <is>
          <t>TIDAHOLM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64394-2023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45280</v>
      </c>
      <c r="E186" s="1" t="n">
        <v>46281</v>
      </c>
      <c r="F186" t="inlineStr">
        <is>
          <t>VÄSTRA GÖTALANDS LÄN</t>
        </is>
      </c>
      <c r="G186" t="inlineStr">
        <is>
          <t>TIDAHOLM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46281</v>
      </c>
      <c r="F187" t="inlineStr">
        <is>
          <t>VÄSTRA GÖTALANDS LÄN</t>
        </is>
      </c>
      <c r="G187" t="inlineStr">
        <is>
          <t>TIDAHOLM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45603</v>
      </c>
      <c r="E188" s="1" t="n">
        <v>46281</v>
      </c>
      <c r="F188" t="inlineStr">
        <is>
          <t>VÄSTRA GÖTALANDS LÄN</t>
        </is>
      </c>
      <c r="G188" t="inlineStr">
        <is>
          <t>TIDAHOLM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46281</v>
      </c>
      <c r="F189" t="inlineStr">
        <is>
          <t>VÄSTRA GÖTALANDS LÄN</t>
        </is>
      </c>
      <c r="G189" t="inlineStr">
        <is>
          <t>TIDAHOLM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46281</v>
      </c>
      <c r="F190" t="inlineStr">
        <is>
          <t>VÄSTRA GÖTALANDS LÄN</t>
        </is>
      </c>
      <c r="G190" t="inlineStr">
        <is>
          <t>TIDAHOLM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45477</v>
      </c>
      <c r="E191" s="1" t="n">
        <v>46281</v>
      </c>
      <c r="F191" t="inlineStr">
        <is>
          <t>VÄSTRA GÖTALANDS LÄN</t>
        </is>
      </c>
      <c r="G191" t="inlineStr">
        <is>
          <t>TIDAHOLM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14907-2023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45013</v>
      </c>
      <c r="E192" s="1" t="n">
        <v>46281</v>
      </c>
      <c r="F192" t="inlineStr">
        <is>
          <t>VÄSTRA GÖTALANDS LÄN</t>
        </is>
      </c>
      <c r="G192" t="inlineStr">
        <is>
          <t>TIDAHOLM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46281</v>
      </c>
      <c r="F193" t="inlineStr">
        <is>
          <t>VÄSTRA GÖTALANDS LÄN</t>
        </is>
      </c>
      <c r="G193" t="inlineStr">
        <is>
          <t>TIDAHOLM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46281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46281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46281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46281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46281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46281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46281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45968</v>
      </c>
      <c r="E201" s="1" t="n">
        <v>46281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46281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46281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46281</v>
      </c>
      <c r="F204" t="inlineStr">
        <is>
          <t>VÄSTRA GÖTALANDS LÄN</t>
        </is>
      </c>
      <c r="G204" t="inlineStr">
        <is>
          <t>TIDAHOLM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46281</v>
      </c>
      <c r="F205" t="inlineStr">
        <is>
          <t>VÄSTRA GÖTALANDS LÄN</t>
        </is>
      </c>
      <c r="G205" t="inlineStr">
        <is>
          <t>TIDAHOLM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46281</v>
      </c>
      <c r="F206" t="inlineStr">
        <is>
          <t>VÄSTRA GÖTALANDS LÄN</t>
        </is>
      </c>
      <c r="G206" t="inlineStr">
        <is>
          <t>TIDAHOLM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45784</v>
      </c>
      <c r="E207" s="1" t="n">
        <v>46281</v>
      </c>
      <c r="F207" t="inlineStr">
        <is>
          <t>VÄSTRA GÖTALANDS LÄN</t>
        </is>
      </c>
      <c r="G207" t="inlineStr">
        <is>
          <t>TIDAHOLM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45016</v>
      </c>
      <c r="E208" s="1" t="n">
        <v>46281</v>
      </c>
      <c r="F208" t="inlineStr">
        <is>
          <t>VÄSTRA GÖTALANDS LÄN</t>
        </is>
      </c>
      <c r="G208" t="inlineStr">
        <is>
          <t>TIDAHOLM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46281</v>
      </c>
      <c r="F209" t="inlineStr">
        <is>
          <t>VÄSTRA GÖTALANDS LÄN</t>
        </is>
      </c>
      <c r="G209" t="inlineStr">
        <is>
          <t>TIDAHOLM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46281</v>
      </c>
      <c r="F210" t="inlineStr">
        <is>
          <t>VÄSTRA GÖTALANDS LÄN</t>
        </is>
      </c>
      <c r="G210" t="inlineStr">
        <is>
          <t>TIDAHOLM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46281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44719</v>
      </c>
      <c r="E212" s="1" t="n">
        <v>46281</v>
      </c>
      <c r="F212" t="inlineStr">
        <is>
          <t>VÄSTRA GÖTALANDS LÄN</t>
        </is>
      </c>
      <c r="G212" t="inlineStr">
        <is>
          <t>TIDAHOLM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46281</v>
      </c>
      <c r="F213" t="inlineStr">
        <is>
          <t>VÄSTRA GÖTALANDS LÄN</t>
        </is>
      </c>
      <c r="G213" t="inlineStr">
        <is>
          <t>TIDAHOLM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45779</v>
      </c>
      <c r="E214" s="1" t="n">
        <v>46281</v>
      </c>
      <c r="F214" t="inlineStr">
        <is>
          <t>VÄSTRA GÖTALANDS LÄN</t>
        </is>
      </c>
      <c r="G214" t="inlineStr">
        <is>
          <t>TIDAHOLM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46281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Kyrkan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45000</v>
      </c>
      <c r="E216" s="1" t="n">
        <v>46281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46281</v>
      </c>
      <c r="F217" t="inlineStr">
        <is>
          <t>VÄSTRA GÖTALANDS LÄN</t>
        </is>
      </c>
      <c r="G217" t="inlineStr">
        <is>
          <t>TIDAHOLM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45469</v>
      </c>
      <c r="E218" s="1" t="n">
        <v>46281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Sveaskog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44915</v>
      </c>
      <c r="E219" s="1" t="n">
        <v>46281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46281</v>
      </c>
      <c r="F220" t="inlineStr">
        <is>
          <t>VÄSTRA GÖTALANDS LÄN</t>
        </is>
      </c>
      <c r="G220" t="inlineStr">
        <is>
          <t>TIDAHOLM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46281</v>
      </c>
      <c r="F221" t="inlineStr">
        <is>
          <t>VÄSTRA GÖTALANDS LÄN</t>
        </is>
      </c>
      <c r="G221" t="inlineStr">
        <is>
          <t>TIDAHOLM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46281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46281</v>
      </c>
      <c r="F223" t="inlineStr">
        <is>
          <t>VÄSTRA GÖTALANDS LÄN</t>
        </is>
      </c>
      <c r="G223" t="inlineStr">
        <is>
          <t>TIDAHOLM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46281</v>
      </c>
      <c r="F224" t="inlineStr">
        <is>
          <t>VÄSTRA GÖTALANDS LÄN</t>
        </is>
      </c>
      <c r="G224" t="inlineStr">
        <is>
          <t>TIDAHOLM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46281</v>
      </c>
      <c r="F225" t="inlineStr">
        <is>
          <t>VÄSTRA GÖTALANDS LÄN</t>
        </is>
      </c>
      <c r="G225" t="inlineStr">
        <is>
          <t>TIDAHOLM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46281</v>
      </c>
      <c r="F226" t="inlineStr">
        <is>
          <t>VÄSTRA GÖTALANDS LÄN</t>
        </is>
      </c>
      <c r="G226" t="inlineStr">
        <is>
          <t>TIDAHOLM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46281</v>
      </c>
      <c r="F227" t="inlineStr">
        <is>
          <t>VÄSTRA GÖTALANDS LÄN</t>
        </is>
      </c>
      <c r="G227" t="inlineStr">
        <is>
          <t>TIDAHOLM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45534</v>
      </c>
      <c r="E228" s="1" t="n">
        <v>46281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Allmännings- och besparingsskogar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46281</v>
      </c>
      <c r="F229" t="inlineStr">
        <is>
          <t>VÄSTRA GÖTALANDS LÄN</t>
        </is>
      </c>
      <c r="G229" t="inlineStr">
        <is>
          <t>TIDAHOLM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32591-2022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46281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46281</v>
      </c>
      <c r="F231" t="inlineStr">
        <is>
          <t>VÄSTRA GÖTALANDS LÄN</t>
        </is>
      </c>
      <c r="G231" t="inlineStr">
        <is>
          <t>TIDAHOLM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8545-2025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46281</v>
      </c>
      <c r="F232" t="inlineStr">
        <is>
          <t>VÄSTRA GÖTALANDS LÄN</t>
        </is>
      </c>
      <c r="G232" t="inlineStr">
        <is>
          <t>TIDAHOLM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46281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Kyrkan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46281</v>
      </c>
      <c r="F234" t="inlineStr">
        <is>
          <t>VÄSTRA GÖTALANDS LÄN</t>
        </is>
      </c>
      <c r="G234" t="inlineStr">
        <is>
          <t>TIDAHOLM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46281</v>
      </c>
      <c r="F235" t="inlineStr">
        <is>
          <t>VÄSTRA GÖTALANDS LÄN</t>
        </is>
      </c>
      <c r="G235" t="inlineStr">
        <is>
          <t>TIDAHOLM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46281</v>
      </c>
      <c r="F236" t="inlineStr">
        <is>
          <t>VÄSTRA GÖTALANDS LÄN</t>
        </is>
      </c>
      <c r="G236" t="inlineStr">
        <is>
          <t>TIDAHOLM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44580</v>
      </c>
      <c r="E237" s="1" t="n">
        <v>46281</v>
      </c>
      <c r="F237" t="inlineStr">
        <is>
          <t>VÄSTRA GÖTALANDS LÄN</t>
        </is>
      </c>
      <c r="G237" t="inlineStr">
        <is>
          <t>TIDAHOLM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46281</v>
      </c>
      <c r="F238" t="inlineStr">
        <is>
          <t>VÄSTRA GÖTALANDS LÄN</t>
        </is>
      </c>
      <c r="G238" t="inlineStr">
        <is>
          <t>TIDAHOLM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46281</v>
      </c>
      <c r="F239" t="inlineStr">
        <is>
          <t>VÄSTRA GÖTALANDS LÄN</t>
        </is>
      </c>
      <c r="G239" t="inlineStr">
        <is>
          <t>TIDAHOLM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45814</v>
      </c>
      <c r="E240" s="1" t="n">
        <v>46281</v>
      </c>
      <c r="F240" t="inlineStr">
        <is>
          <t>VÄSTRA GÖTALANDS LÄN</t>
        </is>
      </c>
      <c r="G240" t="inlineStr">
        <is>
          <t>TIDAHOLM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45744</v>
      </c>
      <c r="E241" s="1" t="n">
        <v>46281</v>
      </c>
      <c r="F241" t="inlineStr">
        <is>
          <t>VÄSTRA GÖTALANDS LÄN</t>
        </is>
      </c>
      <c r="G241" t="inlineStr">
        <is>
          <t>TIDAHOLM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25110-2024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45462</v>
      </c>
      <c r="E242" s="1" t="n">
        <v>46281</v>
      </c>
      <c r="F242" t="inlineStr">
        <is>
          <t>VÄSTRA GÖTALANDS LÄN</t>
        </is>
      </c>
      <c r="G242" t="inlineStr">
        <is>
          <t>TIDAHOLM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46021</v>
      </c>
      <c r="E243" s="1" t="n">
        <v>46281</v>
      </c>
      <c r="F243" t="inlineStr">
        <is>
          <t>VÄSTRA GÖTALANDS LÄN</t>
        </is>
      </c>
      <c r="G243" t="inlineStr">
        <is>
          <t>TIDAHOLM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69446-2021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44531</v>
      </c>
      <c r="E244" s="1" t="n">
        <v>46281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46281</v>
      </c>
      <c r="F245" t="inlineStr">
        <is>
          <t>VÄSTRA GÖTALANDS LÄN</t>
        </is>
      </c>
      <c r="G245" t="inlineStr">
        <is>
          <t>TIDAHOLM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74340-2021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44559</v>
      </c>
      <c r="E246" s="1" t="n">
        <v>46281</v>
      </c>
      <c r="F246" t="inlineStr">
        <is>
          <t>VÄSTRA GÖTALANDS LÄN</t>
        </is>
      </c>
      <c r="G246" t="inlineStr">
        <is>
          <t>TIDAHOLM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22455-2023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45070</v>
      </c>
      <c r="E247" s="1" t="n">
        <v>46281</v>
      </c>
      <c r="F247" t="inlineStr">
        <is>
          <t>VÄSTRA GÖTALANDS LÄN</t>
        </is>
      </c>
      <c r="G247" t="inlineStr">
        <is>
          <t>TIDAHOLM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46281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46281</v>
      </c>
      <c r="F249" t="inlineStr">
        <is>
          <t>VÄSTRA GÖTALANDS LÄN</t>
        </is>
      </c>
      <c r="G249" t="inlineStr">
        <is>
          <t>TIDAHOLM</t>
        </is>
      </c>
      <c r="I249" t="n">
        <v>23.4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46281</v>
      </c>
      <c r="F250" t="inlineStr">
        <is>
          <t>VÄSTRA GÖTALANDS LÄN</t>
        </is>
      </c>
      <c r="G250" t="inlineStr">
        <is>
          <t>TIDAHOLM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46281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46281</v>
      </c>
      <c r="F252" t="inlineStr">
        <is>
          <t>VÄSTRA GÖTALANDS LÄN</t>
        </is>
      </c>
      <c r="G252" t="inlineStr">
        <is>
          <t>TIDAHOLM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46281</v>
      </c>
      <c r="F253" t="inlineStr">
        <is>
          <t>VÄSTRA GÖTALANDS LÄN</t>
        </is>
      </c>
      <c r="G253" t="inlineStr">
        <is>
          <t>TIDAHOLM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60040-2022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44902</v>
      </c>
      <c r="E254" s="1" t="n">
        <v>46281</v>
      </c>
      <c r="F254" t="inlineStr">
        <is>
          <t>VÄSTRA GÖTALANDS LÄN</t>
        </is>
      </c>
      <c r="G254" t="inlineStr">
        <is>
          <t>TIDAHOLM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45068</v>
      </c>
      <c r="E255" s="1" t="n">
        <v>46281</v>
      </c>
      <c r="F255" t="inlineStr">
        <is>
          <t>VÄSTRA GÖTALANDS LÄN</t>
        </is>
      </c>
      <c r="G255" t="inlineStr">
        <is>
          <t>TIDAHOLM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16382-2023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45029</v>
      </c>
      <c r="E256" s="1" t="n">
        <v>46281</v>
      </c>
      <c r="F256" t="inlineStr">
        <is>
          <t>VÄSTRA GÖTALANDS LÄN</t>
        </is>
      </c>
      <c r="G256" t="inlineStr">
        <is>
          <t>TIDAHOLM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46281</v>
      </c>
      <c r="F257" t="inlineStr">
        <is>
          <t>VÄSTRA GÖTALANDS LÄN</t>
        </is>
      </c>
      <c r="G257" t="inlineStr">
        <is>
          <t>TIDAHOLM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39570-2023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46281</v>
      </c>
      <c r="F258" t="inlineStr">
        <is>
          <t>VÄSTRA GÖTALANDS LÄN</t>
        </is>
      </c>
      <c r="G258" t="inlineStr">
        <is>
          <t>TIDAHOLM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25263-2026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46175</v>
      </c>
      <c r="E259" s="1" t="n">
        <v>46281</v>
      </c>
      <c r="F259" t="inlineStr">
        <is>
          <t>VÄSTRA GÖTALANDS LÄN</t>
        </is>
      </c>
      <c r="G259" t="inlineStr">
        <is>
          <t>TIDAHOLM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46175</v>
      </c>
      <c r="E260" s="1" t="n">
        <v>46281</v>
      </c>
      <c r="F260" t="inlineStr">
        <is>
          <t>VÄSTRA GÖTALANDS LÄN</t>
        </is>
      </c>
      <c r="G260" t="inlineStr">
        <is>
          <t>TIDAHOLM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25261-2026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46175</v>
      </c>
      <c r="E261" s="1" t="n">
        <v>46281</v>
      </c>
      <c r="F261" t="inlineStr">
        <is>
          <t>VÄSTRA GÖTALANDS LÄN</t>
        </is>
      </c>
      <c r="G261" t="inlineStr">
        <is>
          <t>TIDAHOLM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58988-2022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46281</v>
      </c>
      <c r="F262" t="inlineStr">
        <is>
          <t>VÄSTRA GÖTALANDS LÄN</t>
        </is>
      </c>
      <c r="G262" t="inlineStr">
        <is>
          <t>TIDAHOLM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46281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46281</v>
      </c>
      <c r="F264" t="inlineStr">
        <is>
          <t>VÄSTRA GÖTALANDS LÄN</t>
        </is>
      </c>
      <c r="G264" t="inlineStr">
        <is>
          <t>TIDAHOLM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30675-2024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45495</v>
      </c>
      <c r="E265" s="1" t="n">
        <v>46281</v>
      </c>
      <c r="F265" t="inlineStr">
        <is>
          <t>VÄSTRA GÖTALANDS LÄN</t>
        </is>
      </c>
      <c r="G265" t="inlineStr">
        <is>
          <t>TIDAHOLM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45495</v>
      </c>
      <c r="E266" s="1" t="n">
        <v>46281</v>
      </c>
      <c r="F266" t="inlineStr">
        <is>
          <t>VÄSTRA GÖTALANDS LÄN</t>
        </is>
      </c>
      <c r="G266" t="inlineStr">
        <is>
          <t>TIDAHOLM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46281</v>
      </c>
      <c r="F267" t="inlineStr">
        <is>
          <t>VÄSTRA GÖTALANDS LÄN</t>
        </is>
      </c>
      <c r="G267" t="inlineStr">
        <is>
          <t>TIDAHOLM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46281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Kyrkan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28684-2023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46281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Kyrkan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46281</v>
      </c>
      <c r="F270" t="inlineStr">
        <is>
          <t>VÄSTRA GÖTALANDS LÄN</t>
        </is>
      </c>
      <c r="G270" t="inlineStr">
        <is>
          <t>TIDAHOLM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46281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Kommuner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46281</v>
      </c>
      <c r="F272" t="inlineStr">
        <is>
          <t>VÄSTRA GÖTALANDS LÄN</t>
        </is>
      </c>
      <c r="G272" t="inlineStr">
        <is>
          <t>TIDAHOLM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46059</v>
      </c>
      <c r="E273" s="1" t="n">
        <v>46281</v>
      </c>
      <c r="F273" t="inlineStr">
        <is>
          <t>VÄSTRA GÖTALANDS LÄN</t>
        </is>
      </c>
      <c r="G273" t="inlineStr">
        <is>
          <t>TIDAHOLM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46281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Kyrkan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46281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Kommuner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46281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61362-2022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44915</v>
      </c>
      <c r="E277" s="1" t="n">
        <v>46281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45266</v>
      </c>
      <c r="E278" s="1" t="n">
        <v>46281</v>
      </c>
      <c r="F278" t="inlineStr">
        <is>
          <t>VÄSTRA GÖTALANDS LÄN</t>
        </is>
      </c>
      <c r="G278" t="inlineStr">
        <is>
          <t>TIDAHOLM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46281</v>
      </c>
      <c r="F279" t="inlineStr">
        <is>
          <t>VÄSTRA GÖTALANDS LÄN</t>
        </is>
      </c>
      <c r="G279" t="inlineStr">
        <is>
          <t>TIDAHOLM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46281</v>
      </c>
      <c r="F280" t="inlineStr">
        <is>
          <t>VÄSTRA GÖTALANDS LÄN</t>
        </is>
      </c>
      <c r="G280" t="inlineStr">
        <is>
          <t>TIDAHOLM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46281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Kyrkan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45576</v>
      </c>
      <c r="E282" s="1" t="n">
        <v>46281</v>
      </c>
      <c r="F282" t="inlineStr">
        <is>
          <t>VÄSTRA GÖTALANDS LÄN</t>
        </is>
      </c>
      <c r="G282" t="inlineStr">
        <is>
          <t>TIDAHOLM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46281</v>
      </c>
      <c r="F283" t="inlineStr">
        <is>
          <t>VÄSTRA GÖTALANDS LÄN</t>
        </is>
      </c>
      <c r="G283" t="inlineStr">
        <is>
          <t>TIDAHOLM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46181</v>
      </c>
      <c r="E284" s="1" t="n">
        <v>46281</v>
      </c>
      <c r="F284" t="inlineStr">
        <is>
          <t>VÄSTRA GÖTALANDS LÄN</t>
        </is>
      </c>
      <c r="G284" t="inlineStr">
        <is>
          <t>TIDAHOLM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45530</v>
      </c>
      <c r="E285" s="1" t="n">
        <v>46281</v>
      </c>
      <c r="F285" t="inlineStr">
        <is>
          <t>VÄSTRA GÖTALANDS LÄN</t>
        </is>
      </c>
      <c r="G285" t="inlineStr">
        <is>
          <t>TIDAHOLM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45183</v>
      </c>
      <c r="E286" s="1" t="n">
        <v>46281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Allmännings- och besparingsskogar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45373</v>
      </c>
      <c r="E287" s="1" t="n">
        <v>46281</v>
      </c>
      <c r="F287" t="inlineStr">
        <is>
          <t>VÄSTRA GÖTALANDS LÄN</t>
        </is>
      </c>
      <c r="G287" t="inlineStr">
        <is>
          <t>TIDAHOLM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32670-2023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45121</v>
      </c>
      <c r="E288" s="1" t="n">
        <v>46281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46281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Allmännings- och besparingsskogar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26550-2024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46281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52036-2024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46281</v>
      </c>
      <c r="F291" t="inlineStr">
        <is>
          <t>VÄSTRA GÖTALANDS LÄN</t>
        </is>
      </c>
      <c r="G291" t="inlineStr">
        <is>
          <t>TIDAHOLM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52715-2023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46281</v>
      </c>
      <c r="F292" t="inlineStr">
        <is>
          <t>VÄSTRA GÖTALANDS LÄN</t>
        </is>
      </c>
      <c r="G292" t="inlineStr">
        <is>
          <t>TIDAHOLM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44766</v>
      </c>
      <c r="E293" s="1" t="n">
        <v>46281</v>
      </c>
      <c r="F293" t="inlineStr">
        <is>
          <t>VÄSTRA GÖTALANDS LÄN</t>
        </is>
      </c>
      <c r="G293" t="inlineStr">
        <is>
          <t>TIDAHOLM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72683-2021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46281</v>
      </c>
      <c r="F294" t="inlineStr">
        <is>
          <t>VÄSTRA GÖTALANDS LÄN</t>
        </is>
      </c>
      <c r="G294" t="inlineStr">
        <is>
          <t>TIDAHOLM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46281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45404</v>
      </c>
      <c r="E296" s="1" t="n">
        <v>46281</v>
      </c>
      <c r="F296" t="inlineStr">
        <is>
          <t>VÄSTRA GÖTALANDS LÄN</t>
        </is>
      </c>
      <c r="G296" t="inlineStr">
        <is>
          <t>TIDAHOLM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45105</v>
      </c>
      <c r="E297" s="1" t="n">
        <v>46281</v>
      </c>
      <c r="F297" t="inlineStr">
        <is>
          <t>VÄSTRA GÖTALANDS LÄN</t>
        </is>
      </c>
      <c r="G297" t="inlineStr">
        <is>
          <t>TIDAHOLM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55780-2021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44476</v>
      </c>
      <c r="E298" s="1" t="n">
        <v>46281</v>
      </c>
      <c r="F298" t="inlineStr">
        <is>
          <t>VÄSTRA GÖTALANDS LÄN</t>
        </is>
      </c>
      <c r="G298" t="inlineStr">
        <is>
          <t>TIDAHOLM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45120</v>
      </c>
      <c r="E299" s="1" t="n">
        <v>46281</v>
      </c>
      <c r="F299" t="inlineStr">
        <is>
          <t>VÄSTRA GÖTALANDS LÄN</t>
        </is>
      </c>
      <c r="G299" t="inlineStr">
        <is>
          <t>TIDAHOLM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46281</v>
      </c>
      <c r="F300" t="inlineStr">
        <is>
          <t>VÄSTRA GÖTALANDS LÄN</t>
        </is>
      </c>
      <c r="G300" t="inlineStr">
        <is>
          <t>TIDAHOLM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46281</v>
      </c>
      <c r="F301" t="inlineStr">
        <is>
          <t>VÄSTRA GÖTALANDS LÄN</t>
        </is>
      </c>
      <c r="G301" t="inlineStr">
        <is>
          <t>TIDAHOLM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46281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45469</v>
      </c>
      <c r="E303" s="1" t="n">
        <v>46281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46281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45047</v>
      </c>
      <c r="E305" s="1" t="n">
        <v>46281</v>
      </c>
      <c r="F305" t="inlineStr">
        <is>
          <t>VÄSTRA GÖTALANDS LÄN</t>
        </is>
      </c>
      <c r="G305" t="inlineStr">
        <is>
          <t>TIDAHOLM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46281</v>
      </c>
      <c r="F306" t="inlineStr">
        <is>
          <t>VÄSTRA GÖTALANDS LÄN</t>
        </is>
      </c>
      <c r="G306" t="inlineStr">
        <is>
          <t>TIDAHOLM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45669</v>
      </c>
      <c r="E307" s="1" t="n">
        <v>46281</v>
      </c>
      <c r="F307" t="inlineStr">
        <is>
          <t>VÄSTRA GÖTALANDS LÄN</t>
        </is>
      </c>
      <c r="G307" t="inlineStr">
        <is>
          <t>TIDAHOLM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44817</v>
      </c>
      <c r="E308" s="1" t="n">
        <v>46281</v>
      </c>
      <c r="F308" t="inlineStr">
        <is>
          <t>VÄSTRA GÖTALANDS LÄN</t>
        </is>
      </c>
      <c r="G308" t="inlineStr">
        <is>
          <t>TIDAHOLM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63679-2025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46014</v>
      </c>
      <c r="E309" s="1" t="n">
        <v>46281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Kommuner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45630</v>
      </c>
      <c r="E310" s="1" t="n">
        <v>46281</v>
      </c>
      <c r="F310" t="inlineStr">
        <is>
          <t>VÄSTRA GÖTALANDS LÄN</t>
        </is>
      </c>
      <c r="G310" t="inlineStr">
        <is>
          <t>TIDAHOLM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46281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46281</v>
      </c>
      <c r="F312" t="inlineStr">
        <is>
          <t>VÄSTRA GÖTALANDS LÄN</t>
        </is>
      </c>
      <c r="G312" t="inlineStr">
        <is>
          <t>TIDAHOLM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46251</v>
      </c>
      <c r="E313" s="1" t="n">
        <v>46281</v>
      </c>
      <c r="F313" t="inlineStr">
        <is>
          <t>VÄSTRA GÖTALANDS LÄN</t>
        </is>
      </c>
      <c r="G313" t="inlineStr">
        <is>
          <t>TIDAHOLM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46281</v>
      </c>
      <c r="F314" t="inlineStr">
        <is>
          <t>VÄSTRA GÖTALANDS LÄN</t>
        </is>
      </c>
      <c r="G314" t="inlineStr">
        <is>
          <t>TIDAHOLM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46281</v>
      </c>
      <c r="F315" t="inlineStr">
        <is>
          <t>VÄSTRA GÖTALANDS LÄN</t>
        </is>
      </c>
      <c r="G315" t="inlineStr">
        <is>
          <t>TIDAHOLM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45267</v>
      </c>
      <c r="E316" s="1" t="n">
        <v>46281</v>
      </c>
      <c r="F316" t="inlineStr">
        <is>
          <t>VÄSTRA GÖTALANDS LÄN</t>
        </is>
      </c>
      <c r="G316" t="inlineStr">
        <is>
          <t>TIDAHOLM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16651-2023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45030</v>
      </c>
      <c r="E317" s="1" t="n">
        <v>46281</v>
      </c>
      <c r="F317" t="inlineStr">
        <is>
          <t>VÄSTRA GÖTALANDS LÄN</t>
        </is>
      </c>
      <c r="G317" t="inlineStr">
        <is>
          <t>TIDAHOLM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46281</v>
      </c>
      <c r="F318" t="inlineStr">
        <is>
          <t>VÄSTRA GÖTALANDS LÄN</t>
        </is>
      </c>
      <c r="G318" t="inlineStr">
        <is>
          <t>TIDAHOLM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49155-2024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45594</v>
      </c>
      <c r="E319" s="1" t="n">
        <v>46281</v>
      </c>
      <c r="F319" t="inlineStr">
        <is>
          <t>VÄSTRA GÖTALANDS LÄN</t>
        </is>
      </c>
      <c r="G319" t="inlineStr">
        <is>
          <t>TIDAHOLM</t>
        </is>
      </c>
      <c r="I319" t="n">
        <v>8.800000000000001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45356</v>
      </c>
      <c r="E320" s="1" t="n">
        <v>46281</v>
      </c>
      <c r="F320" t="inlineStr">
        <is>
          <t>VÄSTRA GÖTALANDS LÄN</t>
        </is>
      </c>
      <c r="G320" t="inlineStr">
        <is>
          <t>TIDAHOLM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46254</v>
      </c>
      <c r="E321" s="1" t="n">
        <v>46281</v>
      </c>
      <c r="F321" t="inlineStr">
        <is>
          <t>VÄSTRA GÖTALANDS LÄN</t>
        </is>
      </c>
      <c r="G321" t="inlineStr">
        <is>
          <t>TIDAHOLM</t>
        </is>
      </c>
      <c r="I321" t="n">
        <v>9.6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48116-2023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45205</v>
      </c>
      <c r="E322" s="1" t="n">
        <v>46281</v>
      </c>
      <c r="F322" t="inlineStr">
        <is>
          <t>VÄSTRA GÖTALANDS LÄN</t>
        </is>
      </c>
      <c r="G322" t="inlineStr">
        <is>
          <t>TIDAHOLM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28984-2024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45481</v>
      </c>
      <c r="E323" s="1" t="n">
        <v>46281</v>
      </c>
      <c r="F323" t="inlineStr">
        <is>
          <t>VÄSTRA GÖTALANDS LÄN</t>
        </is>
      </c>
      <c r="G323" t="inlineStr">
        <is>
          <t>TIDAHOLM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46281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Kyrkan</t>
        </is>
      </c>
      <c r="I324" t="n">
        <v>22.5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44610</v>
      </c>
      <c r="E325" s="1" t="n">
        <v>46281</v>
      </c>
      <c r="F325" t="inlineStr">
        <is>
          <t>VÄSTRA GÖTALANDS LÄN</t>
        </is>
      </c>
      <c r="G325" t="inlineStr">
        <is>
          <t>TIDAHOLM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45623</v>
      </c>
      <c r="E326" s="1" t="n">
        <v>46281</v>
      </c>
      <c r="F326" t="inlineStr">
        <is>
          <t>VÄSTRA GÖTALANDS LÄN</t>
        </is>
      </c>
      <c r="G326" t="inlineStr">
        <is>
          <t>TIDAHOLM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46281</v>
      </c>
      <c r="F327" t="inlineStr">
        <is>
          <t>VÄSTRA GÖTALANDS LÄN</t>
        </is>
      </c>
      <c r="G327" t="inlineStr">
        <is>
          <t>TIDAHOLM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45090</v>
      </c>
      <c r="E328" s="1" t="n">
        <v>46281</v>
      </c>
      <c r="F328" t="inlineStr">
        <is>
          <t>VÄSTRA GÖTALANDS LÄN</t>
        </is>
      </c>
      <c r="G328" t="inlineStr">
        <is>
          <t>TIDAHOLM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45637</v>
      </c>
      <c r="E329" s="1" t="n">
        <v>46281</v>
      </c>
      <c r="F329" t="inlineStr">
        <is>
          <t>VÄSTRA GÖTALANDS LÄN</t>
        </is>
      </c>
      <c r="G329" t="inlineStr">
        <is>
          <t>TIDAHOLM</t>
        </is>
      </c>
      <c r="I329" t="n">
        <v>9.5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46281</v>
      </c>
      <c r="F330" t="inlineStr">
        <is>
          <t>VÄSTRA GÖTALANDS LÄN</t>
        </is>
      </c>
      <c r="G330" t="inlineStr">
        <is>
          <t>TIDAHOLM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46281</v>
      </c>
      <c r="F331" t="inlineStr">
        <is>
          <t>VÄSTRA GÖTALANDS LÄN</t>
        </is>
      </c>
      <c r="G331" t="inlineStr">
        <is>
          <t>TIDAHOLM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19572-2022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44693</v>
      </c>
      <c r="E332" s="1" t="n">
        <v>46281</v>
      </c>
      <c r="F332" t="inlineStr">
        <is>
          <t>VÄSTRA GÖTALANDS LÄN</t>
        </is>
      </c>
      <c r="G332" t="inlineStr">
        <is>
          <t>TIDAHOLM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12026-2022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44636</v>
      </c>
      <c r="E333" s="1" t="n">
        <v>46281</v>
      </c>
      <c r="F333" t="inlineStr">
        <is>
          <t>VÄSTRA GÖTALANDS LÄN</t>
        </is>
      </c>
      <c r="G333" t="inlineStr">
        <is>
          <t>TIDAHOLM</t>
        </is>
      </c>
      <c r="I333" t="n">
        <v>18.8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46281</v>
      </c>
      <c r="F334" t="inlineStr">
        <is>
          <t>VÄSTRA GÖTALANDS LÄN</t>
        </is>
      </c>
      <c r="G334" t="inlineStr">
        <is>
          <t>TIDAHOLM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9236-2024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45358</v>
      </c>
      <c r="E335" s="1" t="n">
        <v>46281</v>
      </c>
      <c r="F335" t="inlineStr">
        <is>
          <t>VÄSTRA GÖTALANDS LÄN</t>
        </is>
      </c>
      <c r="G335" t="inlineStr">
        <is>
          <t>TIDAHOLM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46281</v>
      </c>
      <c r="F336" t="inlineStr">
        <is>
          <t>VÄSTRA GÖTALANDS LÄN</t>
        </is>
      </c>
      <c r="G336" t="inlineStr">
        <is>
          <t>TIDAHOLM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54113-2022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44881</v>
      </c>
      <c r="E337" s="1" t="n">
        <v>46281</v>
      </c>
      <c r="F337" t="inlineStr">
        <is>
          <t>VÄSTRA GÖTALANDS LÄN</t>
        </is>
      </c>
      <c r="G337" t="inlineStr">
        <is>
          <t>TIDAHOLM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29177-2023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45105</v>
      </c>
      <c r="E338" s="1" t="n">
        <v>46281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35937-2026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46266</v>
      </c>
      <c r="E339" s="1" t="n">
        <v>46281</v>
      </c>
      <c r="F339" t="inlineStr">
        <is>
          <t>VÄSTRA GÖTALANDS LÄN</t>
        </is>
      </c>
      <c r="G339" t="inlineStr">
        <is>
          <t>TIDAHOLM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46099</v>
      </c>
      <c r="E340" s="1" t="n">
        <v>46281</v>
      </c>
      <c r="F340" t="inlineStr">
        <is>
          <t>VÄSTRA GÖTALANDS LÄN</t>
        </is>
      </c>
      <c r="G340" t="inlineStr">
        <is>
          <t>TIDAHOLM</t>
        </is>
      </c>
      <c r="I340" t="n">
        <v>16.2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57964-2022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44900</v>
      </c>
      <c r="E341" s="1" t="n">
        <v>46281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46281</v>
      </c>
      <c r="F342" t="inlineStr">
        <is>
          <t>VÄSTRA GÖTALANDS LÄN</t>
        </is>
      </c>
      <c r="G342" t="inlineStr">
        <is>
          <t>TIDAHOLM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44972</v>
      </c>
      <c r="E343" s="1" t="n">
        <v>46281</v>
      </c>
      <c r="F343" t="inlineStr">
        <is>
          <t>VÄSTRA GÖTALANDS LÄN</t>
        </is>
      </c>
      <c r="G343" t="inlineStr">
        <is>
          <t>TIDAHOLM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45468-2024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45576</v>
      </c>
      <c r="E344" s="1" t="n">
        <v>46281</v>
      </c>
      <c r="F344" t="inlineStr">
        <is>
          <t>VÄSTRA GÖTALANDS LÄN</t>
        </is>
      </c>
      <c r="G344" t="inlineStr">
        <is>
          <t>TIDAHOLM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46281</v>
      </c>
      <c r="F345" t="inlineStr">
        <is>
          <t>VÄSTRA GÖTALANDS LÄN</t>
        </is>
      </c>
      <c r="G345" t="inlineStr">
        <is>
          <t>TIDAHOLM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45041</v>
      </c>
      <c r="E346" s="1" t="n">
        <v>46281</v>
      </c>
      <c r="F346" t="inlineStr">
        <is>
          <t>VÄSTRA GÖTALANDS LÄN</t>
        </is>
      </c>
      <c r="G346" t="inlineStr">
        <is>
          <t>TIDAHOLM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46273</v>
      </c>
      <c r="E347" s="1" t="n">
        <v>46281</v>
      </c>
      <c r="F347" t="inlineStr">
        <is>
          <t>VÄSTRA GÖTALANDS LÄN</t>
        </is>
      </c>
      <c r="G347" t="inlineStr">
        <is>
          <t>TIDAHOLM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45358</v>
      </c>
      <c r="E348" s="1" t="n">
        <v>46281</v>
      </c>
      <c r="F348" t="inlineStr">
        <is>
          <t>VÄSTRA GÖTALANDS LÄN</t>
        </is>
      </c>
      <c r="G348" t="inlineStr">
        <is>
          <t>TIDAHOLM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45645</v>
      </c>
      <c r="E349" s="1" t="n">
        <v>46281</v>
      </c>
      <c r="F349" t="inlineStr">
        <is>
          <t>VÄSTRA GÖTALANDS LÄN</t>
        </is>
      </c>
      <c r="G349" t="inlineStr">
        <is>
          <t>TIDAHOLM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60643-2022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44911</v>
      </c>
      <c r="E350" s="1" t="n">
        <v>46281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60644-2022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44911</v>
      </c>
      <c r="E351" s="1" t="n">
        <v>46281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46281</v>
      </c>
      <c r="F352" t="inlineStr">
        <is>
          <t>VÄSTRA GÖTALANDS LÄN</t>
        </is>
      </c>
      <c r="G352" t="inlineStr">
        <is>
          <t>TIDAHOLM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46281</v>
      </c>
      <c r="F353" t="inlineStr">
        <is>
          <t>VÄSTRA GÖTALANDS LÄN</t>
        </is>
      </c>
      <c r="G353" t="inlineStr">
        <is>
          <t>TIDAHOLM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37869-2026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46279</v>
      </c>
      <c r="E354" s="1" t="n">
        <v>46281</v>
      </c>
      <c r="F354" t="inlineStr">
        <is>
          <t>VÄSTRA GÖTALANDS LÄN</t>
        </is>
      </c>
      <c r="G354" t="inlineStr">
        <is>
          <t>TIDAHOLM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45779</v>
      </c>
      <c r="E355" s="1" t="n">
        <v>46281</v>
      </c>
      <c r="F355" t="inlineStr">
        <is>
          <t>VÄSTRA GÖTALANDS LÄN</t>
        </is>
      </c>
      <c r="G355" t="inlineStr">
        <is>
          <t>TIDAHOLM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52042-2024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45608</v>
      </c>
      <c r="E356" s="1" t="n">
        <v>46281</v>
      </c>
      <c r="F356" t="inlineStr">
        <is>
          <t>VÄSTRA GÖTALANDS LÄN</t>
        </is>
      </c>
      <c r="G356" t="inlineStr">
        <is>
          <t>TIDAHOLM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46279</v>
      </c>
      <c r="E357" s="1" t="n">
        <v>46281</v>
      </c>
      <c r="F357" t="inlineStr">
        <is>
          <t>VÄSTRA GÖTALANDS LÄN</t>
        </is>
      </c>
      <c r="G357" t="inlineStr">
        <is>
          <t>TIDAHOLM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45473</v>
      </c>
      <c r="E358" s="1" t="n">
        <v>46281</v>
      </c>
      <c r="F358" t="inlineStr">
        <is>
          <t>VÄSTRA GÖTALANDS LÄN</t>
        </is>
      </c>
      <c r="G358" t="inlineStr">
        <is>
          <t>TIDAHOLM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35125-2024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45530</v>
      </c>
      <c r="E359" s="1" t="n">
        <v>46281</v>
      </c>
      <c r="F359" t="inlineStr">
        <is>
          <t>VÄSTRA GÖTALANDS LÄN</t>
        </is>
      </c>
      <c r="G359" t="inlineStr">
        <is>
          <t>TIDAHOLM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46281</v>
      </c>
      <c r="F360" t="inlineStr">
        <is>
          <t>VÄSTRA GÖTALANDS LÄN</t>
        </is>
      </c>
      <c r="G360" t="inlineStr">
        <is>
          <t>TIDAHOLM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33568-2024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45519</v>
      </c>
      <c r="E361" s="1" t="n">
        <v>46281</v>
      </c>
      <c r="F361" t="inlineStr">
        <is>
          <t>VÄSTRA GÖTALANDS LÄN</t>
        </is>
      </c>
      <c r="G361" t="inlineStr">
        <is>
          <t>TIDAHOLM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46281</v>
      </c>
      <c r="F362" t="inlineStr">
        <is>
          <t>VÄSTRA GÖTALANDS LÄN</t>
        </is>
      </c>
      <c r="G362" t="inlineStr">
        <is>
          <t>TIDAHOLM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46281</v>
      </c>
      <c r="F363" t="inlineStr">
        <is>
          <t>VÄSTRA GÖTALANDS LÄN</t>
        </is>
      </c>
      <c r="G363" t="inlineStr">
        <is>
          <t>TIDAHOLM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45711</v>
      </c>
      <c r="E364" s="1" t="n">
        <v>46281</v>
      </c>
      <c r="F364" t="inlineStr">
        <is>
          <t>VÄSTRA GÖTALANDS LÄN</t>
        </is>
      </c>
      <c r="G364" t="inlineStr">
        <is>
          <t>TIDAHOLM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46281</v>
      </c>
      <c r="F365" t="inlineStr">
        <is>
          <t>VÄSTRA GÖTALANDS LÄN</t>
        </is>
      </c>
      <c r="G365" t="inlineStr">
        <is>
          <t>TIDAHOLM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45728</v>
      </c>
      <c r="E366" s="1" t="n">
        <v>46281</v>
      </c>
      <c r="F366" t="inlineStr">
        <is>
          <t>VÄSTRA GÖTALANDS LÄN</t>
        </is>
      </c>
      <c r="G366" t="inlineStr">
        <is>
          <t>TIDAHOLM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45350</v>
      </c>
      <c r="E367" s="1" t="n">
        <v>46281</v>
      </c>
      <c r="F367" t="inlineStr">
        <is>
          <t>VÄSTRA GÖTALANDS LÄN</t>
        </is>
      </c>
      <c r="G367" t="inlineStr">
        <is>
          <t>TIDAHOLM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46281</v>
      </c>
      <c r="F368" t="inlineStr">
        <is>
          <t>VÄSTRA GÖTALANDS LÄN</t>
        </is>
      </c>
      <c r="G368" t="inlineStr">
        <is>
          <t>TIDAHOLM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44997</v>
      </c>
      <c r="E369" s="1" t="n">
        <v>46281</v>
      </c>
      <c r="F369" t="inlineStr">
        <is>
          <t>VÄSTRA GÖTALANDS LÄN</t>
        </is>
      </c>
      <c r="G369" t="inlineStr">
        <is>
          <t>TIDAHOLM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46281</v>
      </c>
      <c r="F370" t="inlineStr">
        <is>
          <t>VÄSTRA GÖTALANDS LÄN</t>
        </is>
      </c>
      <c r="G370" t="inlineStr">
        <is>
          <t>TIDAHOLM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45821</v>
      </c>
      <c r="E371" s="1" t="n">
        <v>46281</v>
      </c>
      <c r="F371" t="inlineStr">
        <is>
          <t>VÄSTRA GÖTALANDS LÄN</t>
        </is>
      </c>
      <c r="G371" t="inlineStr">
        <is>
          <t>TIDAHOLM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45786</v>
      </c>
      <c r="E372" s="1" t="n">
        <v>46281</v>
      </c>
      <c r="F372" t="inlineStr">
        <is>
          <t>VÄSTRA GÖTALANDS LÄN</t>
        </is>
      </c>
      <c r="G372" t="inlineStr">
        <is>
          <t>TIDAHOLM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27232-2023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45096</v>
      </c>
      <c r="E373" s="1" t="n">
        <v>46281</v>
      </c>
      <c r="F373" t="inlineStr">
        <is>
          <t>VÄSTRA GÖTALANDS LÄN</t>
        </is>
      </c>
      <c r="G373" t="inlineStr">
        <is>
          <t>TIDAHOLM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45784</v>
      </c>
      <c r="E374" s="1" t="n">
        <v>46281</v>
      </c>
      <c r="F374" t="inlineStr">
        <is>
          <t>VÄSTRA GÖTALANDS LÄN</t>
        </is>
      </c>
      <c r="G374" t="inlineStr">
        <is>
          <t>TIDAHOLM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46281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46281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46281</v>
      </c>
      <c r="F377" t="inlineStr">
        <is>
          <t>VÄSTRA GÖTALANDS LÄN</t>
        </is>
      </c>
      <c r="G377" t="inlineStr">
        <is>
          <t>TIDAHOLM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45846</v>
      </c>
      <c r="E378" s="1" t="n">
        <v>46281</v>
      </c>
      <c r="F378" t="inlineStr">
        <is>
          <t>VÄSTRA GÖTALANDS LÄN</t>
        </is>
      </c>
      <c r="G378" t="inlineStr">
        <is>
          <t>TIDAHOLM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60287-2023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45258</v>
      </c>
      <c r="E379" s="1" t="n">
        <v>46281</v>
      </c>
      <c r="F379" t="inlineStr">
        <is>
          <t>VÄSTRA GÖTALANDS LÄN</t>
        </is>
      </c>
      <c r="G379" t="inlineStr">
        <is>
          <t>TIDAHOLM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45821</v>
      </c>
      <c r="E380" s="1" t="n">
        <v>46281</v>
      </c>
      <c r="F380" t="inlineStr">
        <is>
          <t>VÄSTRA GÖTALANDS LÄN</t>
        </is>
      </c>
      <c r="G380" t="inlineStr">
        <is>
          <t>TIDAHOLM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45669</v>
      </c>
      <c r="E381" s="1" t="n">
        <v>46281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46281</v>
      </c>
      <c r="F382" t="inlineStr">
        <is>
          <t>VÄSTRA GÖTALANDS LÄN</t>
        </is>
      </c>
      <c r="G382" t="inlineStr">
        <is>
          <t>TIDAHOLM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14334-2025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45740</v>
      </c>
      <c r="E383" s="1" t="n">
        <v>46281</v>
      </c>
      <c r="F383" t="inlineStr">
        <is>
          <t>VÄSTRA GÖTALANDS LÄN</t>
        </is>
      </c>
      <c r="G383" t="inlineStr">
        <is>
          <t>TIDAHOLM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46281</v>
      </c>
      <c r="F384" t="inlineStr">
        <is>
          <t>VÄSTRA GÖTALANDS LÄN</t>
        </is>
      </c>
      <c r="G384" t="inlineStr">
        <is>
          <t>TIDAHOLM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35388-2025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45855</v>
      </c>
      <c r="E385" s="1" t="n">
        <v>46281</v>
      </c>
      <c r="F385" t="inlineStr">
        <is>
          <t>VÄSTRA GÖTALANDS LÄN</t>
        </is>
      </c>
      <c r="G385" t="inlineStr">
        <is>
          <t>TIDAHOLM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45473</v>
      </c>
      <c r="E386" s="1" t="n">
        <v>46281</v>
      </c>
      <c r="F386" t="inlineStr">
        <is>
          <t>VÄSTRA GÖTALANDS LÄN</t>
        </is>
      </c>
      <c r="G386" t="inlineStr">
        <is>
          <t>TIDAHOLM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45861</v>
      </c>
      <c r="E387" s="1" t="n">
        <v>46281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415-2021</t>
        </is>
      </c>
      <c r="B388" t="inlineStr">
        <is>
          <t>samrådsanmälan</t>
        </is>
      </c>
      <c r="C388" t="inlineStr">
        <is>
          <t>Åtgärd i nyckelbiotop</t>
        </is>
      </c>
      <c r="D388" s="1" t="n">
        <v>44257</v>
      </c>
      <c r="E388" s="1" t="n">
        <v>46281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986-2022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46281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98.40000000000001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968-2022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46281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87.3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2715-2025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45930</v>
      </c>
      <c r="E391" s="1" t="n">
        <v>46281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2026-09-16T02:00:28Z</dcterms:created>
  <dcterms:modified xmlns:dcterms="http://purl.org/dc/terms/" xmlns:xsi="http://www.w3.org/2001/XMLSchema-instance" xsi:type="dcterms:W3CDTF">2026-09-16T02:00:29Z</dcterms:modified>
</cp:coreProperties>
</file>