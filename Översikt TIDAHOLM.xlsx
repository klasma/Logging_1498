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46216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46216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46216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46216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46216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Grynig filtlav
Fällmossa
Blåsippa</t>
        </is>
      </c>
      <c r="V6">
        <f>HYPERLINK("https://klasma.github.io/Logging_1498/artfynd/A 46261-2021 artfynd.xlsx", "A 46261-2021")</f>
        <v/>
      </c>
      <c r="W6">
        <f>HYPERLINK("https://klasma.github.io/Logging_1498/kartor/A 46261-2021 karta.png", "A 46261-2021")</f>
        <v/>
      </c>
      <c r="Y6">
        <f>HYPERLINK("https://klasma.github.io/Logging_1498/klagomål/A 46261-2021 FSC-klagomål.docx", "A 46261-2021")</f>
        <v/>
      </c>
      <c r="Z6">
        <f>HYPERLINK("https://klasma.github.io/Logging_1498/klagomålsmail/A 46261-2021 FSC-klagomål mail.docx", "A 46261-2021")</f>
        <v/>
      </c>
      <c r="AA6">
        <f>HYPERLINK("https://klasma.github.io/Logging_1498/tillsyn/A 46261-2021 tillsynsbegäran.docx", "A 46261-2021")</f>
        <v/>
      </c>
      <c r="AB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46216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Gullpudra
Grön sköldmossa
Revlummer</t>
        </is>
      </c>
      <c r="V7">
        <f>HYPERLINK("https://klasma.github.io/Logging_1498/artfynd/A 2389-2024 artfynd.xlsx", "A 2389-2024")</f>
        <v/>
      </c>
      <c r="W7">
        <f>HYPERLINK("https://klasma.github.io/Logging_1498/kartor/A 2389-2024 karta.png", "A 2389-2024")</f>
        <v/>
      </c>
      <c r="Y7">
        <f>HYPERLINK("https://klasma.github.io/Logging_1498/klagomål/A 2389-2024 FSC-klagomål.docx", "A 2389-2024")</f>
        <v/>
      </c>
      <c r="Z7">
        <f>HYPERLINK("https://klasma.github.io/Logging_1498/klagomålsmail/A 2389-2024 FSC-klagomål mail.docx", "A 2389-2024")</f>
        <v/>
      </c>
      <c r="AA7">
        <f>HYPERLINK("https://klasma.github.io/Logging_1498/tillsyn/A 2389-2024 tillsynsbegäran.docx", "A 2389-2024")</f>
        <v/>
      </c>
      <c r="AB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46216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46216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s="2" t="inlineStr">
        <is>
          <t>Mosippa
Dropptaggsvamp</t>
        </is>
      </c>
      <c r="V10">
        <f>HYPERLINK("https://klasma.github.io/Logging_1498/artfynd/A 44466-2023 artfynd.xlsx", "A 44466-2023")</f>
        <v/>
      </c>
      <c r="W10">
        <f>HYPERLINK("https://klasma.github.io/Logging_1498/kartor/A 44466-2023 karta.png", "A 44466-2023")</f>
        <v/>
      </c>
      <c r="Y10">
        <f>HYPERLINK("https://klasma.github.io/Logging_1498/klagomål/A 44466-2023 FSC-klagomål.docx", "A 44466-2023")</f>
        <v/>
      </c>
      <c r="Z10">
        <f>HYPERLINK("https://klasma.github.io/Logging_1498/klagomålsmail/A 44466-2023 FSC-klagomål mail.docx", "A 44466-2023")</f>
        <v/>
      </c>
      <c r="AA10">
        <f>HYPERLINK("https://klasma.github.io/Logging_1498/tillsyn/A 44466-2023 tillsynsbegäran.docx", "A 44466-2023")</f>
        <v/>
      </c>
      <c r="AB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46216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Grynig filtlav
Fällmossa</t>
        </is>
      </c>
      <c r="V11">
        <f>HYPERLINK("https://klasma.github.io/Logging_1498/artfynd/A 689-2023 artfynd.xlsx", "A 689-2023")</f>
        <v/>
      </c>
      <c r="W11">
        <f>HYPERLINK("https://klasma.github.io/Logging_1498/kartor/A 689-2023 karta.png", "A 689-2023")</f>
        <v/>
      </c>
      <c r="Y11">
        <f>HYPERLINK("https://klasma.github.io/Logging_1498/klagomål/A 689-2023 FSC-klagomål.docx", "A 689-2023")</f>
        <v/>
      </c>
      <c r="Z11">
        <f>HYPERLINK("https://klasma.github.io/Logging_1498/klagomålsmail/A 689-2023 FSC-klagomål mail.docx", "A 689-2023")</f>
        <v/>
      </c>
      <c r="AA11">
        <f>HYPERLINK("https://klasma.github.io/Logging_1498/tillsyn/A 689-2023 tillsynsbegäran.docx", "A 689-2023")</f>
        <v/>
      </c>
      <c r="AB11">
        <f>HYPERLINK("https://klasma.github.io/Logging_1498/tillsynsmail/A 689-2023 tillsynsbegäran mail.docx", "A 689-2023")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46216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46216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46216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46216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46216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HYPERLINK("https://klasma.github.io/Logging_1498/artfynd/A 57539-2023 artfynd.xlsx", "A 57539-2023")</f>
        <v/>
      </c>
      <c r="W16">
        <f>HYPERLINK("https://klasma.github.io/Logging_1498/kartor/A 57539-2023 karta.png", "A 57539-2023")</f>
        <v/>
      </c>
      <c r="Y16">
        <f>HYPERLINK("https://klasma.github.io/Logging_1498/klagomål/A 57539-2023 FSC-klagomål.docx", "A 57539-2023")</f>
        <v/>
      </c>
      <c r="Z16">
        <f>HYPERLINK("https://klasma.github.io/Logging_1498/klagomålsmail/A 57539-2023 FSC-klagomål mail.docx", "A 57539-2023")</f>
        <v/>
      </c>
      <c r="AA16">
        <f>HYPERLINK("https://klasma.github.io/Logging_1498/tillsyn/A 57539-2023 tillsynsbegäran.docx", "A 57539-2023")</f>
        <v/>
      </c>
      <c r="AB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46216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46216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s="2" t="inlineStr">
        <is>
          <t>Gammelgransskål</t>
        </is>
      </c>
      <c r="V18">
        <f>HYPERLINK("https://klasma.github.io/Logging_1498/artfynd/A 54133-2023 artfynd.xlsx", "A 54133-2023")</f>
        <v/>
      </c>
      <c r="W18">
        <f>HYPERLINK("https://klasma.github.io/Logging_1498/kartor/A 54133-2023 karta.png", "A 54133-2023")</f>
        <v/>
      </c>
      <c r="Y18">
        <f>HYPERLINK("https://klasma.github.io/Logging_1498/klagomål/A 54133-2023 FSC-klagomål.docx", "A 54133-2023")</f>
        <v/>
      </c>
      <c r="Z18">
        <f>HYPERLINK("https://klasma.github.io/Logging_1498/klagomålsmail/A 54133-2023 FSC-klagomål mail.docx", "A 54133-2023")</f>
        <v/>
      </c>
      <c r="AA18">
        <f>HYPERLINK("https://klasma.github.io/Logging_1498/tillsyn/A 54133-2023 tillsynsbegäran.docx", "A 54133-2023")</f>
        <v/>
      </c>
      <c r="AB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46216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Y19">
        <f>HYPERLINK("https://klasma.github.io/Logging_1498/klagomål/A 46247-2025 FSC-klagomål.docx", "A 46247-2025")</f>
        <v/>
      </c>
      <c r="Z19">
        <f>HYPERLINK("https://klasma.github.io/Logging_1498/klagomålsmail/A 46247-2025 FSC-klagomål mail.docx", "A 46247-2025")</f>
        <v/>
      </c>
      <c r="AA19">
        <f>HYPERLINK("https://klasma.github.io/Logging_1498/tillsyn/A 46247-2025 tillsynsbegäran.docx", "A 46247-2025")</f>
        <v/>
      </c>
      <c r="AB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46216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Y20">
        <f>HYPERLINK("https://klasma.github.io/Logging_1498/klagomål/A 47391-2025 FSC-klagomål.docx", "A 47391-2025")</f>
        <v/>
      </c>
      <c r="Z20">
        <f>HYPERLINK("https://klasma.github.io/Logging_1498/klagomålsmail/A 47391-2025 FSC-klagomål mail.docx", "A 47391-2025")</f>
        <v/>
      </c>
      <c r="AA20">
        <f>HYPERLINK("https://klasma.github.io/Logging_1498/tillsyn/A 47391-2025 tillsynsbegäran.docx", "A 47391-2025")</f>
        <v/>
      </c>
      <c r="AB20">
        <f>HYPERLINK("https://klasma.github.io/Logging_1498/tillsynsmail/A 47391-2025 tillsynsbegäran mail.docx", "A 47391-2025")</f>
        <v/>
      </c>
      <c r="AC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46216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Grönvit nattviol</t>
        </is>
      </c>
      <c r="V21">
        <f>HYPERLINK("https://klasma.github.io/Logging_1498/artfynd/A 6813-2026 artfynd.xlsx", "A 6813-2026")</f>
        <v/>
      </c>
      <c r="W21">
        <f>HYPERLINK("https://klasma.github.io/Logging_1498/kartor/A 6813-2026 karta.png", "A 6813-2026")</f>
        <v/>
      </c>
      <c r="Y21">
        <f>HYPERLINK("https://klasma.github.io/Logging_1498/klagomål/A 6813-2026 FSC-klagomål.docx", "A 6813-2026")</f>
        <v/>
      </c>
      <c r="Z21">
        <f>HYPERLINK("https://klasma.github.io/Logging_1498/klagomålsmail/A 6813-2026 FSC-klagomål mail.docx", "A 6813-2026")</f>
        <v/>
      </c>
      <c r="AA21">
        <f>HYPERLINK("https://klasma.github.io/Logging_1498/tillsyn/A 6813-2026 tillsynsbegäran.docx", "A 6813-2026")</f>
        <v/>
      </c>
      <c r="AB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46216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HYPERLINK("https://klasma.github.io/Logging_1498/artfynd/A 4052-2025 artfynd.xlsx", "A 4052-2025")</f>
        <v/>
      </c>
      <c r="W22">
        <f>HYPERLINK("https://klasma.github.io/Logging_1498/kartor/A 4052-2025 karta.png", "A 4052-2025")</f>
        <v/>
      </c>
      <c r="Y22">
        <f>HYPERLINK("https://klasma.github.io/Logging_1498/klagomål/A 4052-2025 FSC-klagomål.docx", "A 4052-2025")</f>
        <v/>
      </c>
      <c r="Z22">
        <f>HYPERLINK("https://klasma.github.io/Logging_1498/klagomålsmail/A 4052-2025 FSC-klagomål mail.docx", "A 4052-2025")</f>
        <v/>
      </c>
      <c r="AA22">
        <f>HYPERLINK("https://klasma.github.io/Logging_1498/tillsyn/A 4052-2025 tillsynsbegäran.docx", "A 4052-2025")</f>
        <v/>
      </c>
      <c r="AB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46216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Y23">
        <f>HYPERLINK("https://klasma.github.io/Logging_1498/klagomål/A 12332-2022 FSC-klagomål.docx", "A 12332-2022")</f>
        <v/>
      </c>
      <c r="Z23">
        <f>HYPERLINK("https://klasma.github.io/Logging_1498/klagomålsmail/A 12332-2022 FSC-klagomål mail.docx", "A 12332-2022")</f>
        <v/>
      </c>
      <c r="AA23">
        <f>HYPERLINK("https://klasma.github.io/Logging_1498/tillsyn/A 12332-2022 tillsynsbegäran.docx", "A 12332-2022")</f>
        <v/>
      </c>
      <c r="AB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46216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Brunlångöra</t>
        </is>
      </c>
      <c r="V24">
        <f>HYPERLINK("https://klasma.github.io/Logging_1498/artfynd/A 3976-2024 artfynd.xlsx", "A 3976-2024")</f>
        <v/>
      </c>
      <c r="W24">
        <f>HYPERLINK("https://klasma.github.io/Logging_1498/kartor/A 3976-2024 karta.png", "A 3976-2024")</f>
        <v/>
      </c>
      <c r="Y24">
        <f>HYPERLINK("https://klasma.github.io/Logging_1498/klagomål/A 3976-2024 FSC-klagomål.docx", "A 3976-2024")</f>
        <v/>
      </c>
      <c r="Z24">
        <f>HYPERLINK("https://klasma.github.io/Logging_1498/klagomålsmail/A 3976-2024 FSC-klagomål mail.docx", "A 3976-2024")</f>
        <v/>
      </c>
      <c r="AA24">
        <f>HYPERLINK("https://klasma.github.io/Logging_1498/tillsyn/A 3976-2024 tillsynsbegäran.docx", "A 3976-2024")</f>
        <v/>
      </c>
      <c r="AB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46216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46216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46216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46216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46216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46216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46216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46216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46216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46216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46216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46216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46216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46216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46216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46216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1476-2022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44573</v>
      </c>
      <c r="E41" s="1" t="n">
        <v>46216</v>
      </c>
      <c r="F41" t="inlineStr">
        <is>
          <t>VÄSTRA GÖTALANDS LÄN</t>
        </is>
      </c>
      <c r="G41" t="inlineStr">
        <is>
          <t>TIDAHOLM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44392</v>
      </c>
      <c r="E42" s="1" t="n">
        <v>46216</v>
      </c>
      <c r="F42" t="inlineStr">
        <is>
          <t>VÄSTRA GÖTALANDS LÄN</t>
        </is>
      </c>
      <c r="G42" t="inlineStr">
        <is>
          <t>TIDAHOLM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9064-2022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46216</v>
      </c>
      <c r="F43" t="inlineStr">
        <is>
          <t>VÄSTRA GÖTALANDS LÄN</t>
        </is>
      </c>
      <c r="G43" t="inlineStr">
        <is>
          <t>TIDAHOLM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46216</v>
      </c>
      <c r="F44" t="inlineStr">
        <is>
          <t>VÄSTRA GÖTALANDS LÄN</t>
        </is>
      </c>
      <c r="G44" t="inlineStr">
        <is>
          <t>TIDAHOLM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46216</v>
      </c>
      <c r="F45" t="inlineStr">
        <is>
          <t>VÄSTRA GÖTALANDS LÄN</t>
        </is>
      </c>
      <c r="G45" t="inlineStr">
        <is>
          <t>TIDAHOLM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46216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46216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47963-2021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44449</v>
      </c>
      <c r="E48" s="1" t="n">
        <v>46216</v>
      </c>
      <c r="F48" t="inlineStr">
        <is>
          <t>VÄSTRA GÖTALANDS LÄN</t>
        </is>
      </c>
      <c r="G48" t="inlineStr">
        <is>
          <t>TIDAHOLM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64927-2021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46216</v>
      </c>
      <c r="F49" t="inlineStr">
        <is>
          <t>VÄSTRA GÖTALANDS LÄN</t>
        </is>
      </c>
      <c r="G49" t="inlineStr">
        <is>
          <t>TIDAHOLM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44587</v>
      </c>
      <c r="E50" s="1" t="n">
        <v>46216</v>
      </c>
      <c r="F50" t="inlineStr">
        <is>
          <t>VÄSTRA GÖTALANDS LÄN</t>
        </is>
      </c>
      <c r="G50" t="inlineStr">
        <is>
          <t>TIDAHOLM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56095-2022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46216</v>
      </c>
      <c r="F51" t="inlineStr">
        <is>
          <t>VÄSTRA GÖTALANDS LÄN</t>
        </is>
      </c>
      <c r="G51" t="inlineStr">
        <is>
          <t>TIDAHOLM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40627-2021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44420</v>
      </c>
      <c r="E52" s="1" t="n">
        <v>46216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46216</v>
      </c>
      <c r="F53" t="inlineStr">
        <is>
          <t>VÄSTRA GÖTALANDS LÄN</t>
        </is>
      </c>
      <c r="G53" t="inlineStr">
        <is>
          <t>TIDAHOLM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32615-2022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46216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Sveaskog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46216</v>
      </c>
      <c r="F55" t="inlineStr">
        <is>
          <t>VÄSTRA GÖTALANDS LÄN</t>
        </is>
      </c>
      <c r="G55" t="inlineStr">
        <is>
          <t>TIDAHOLM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58009-2021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44456</v>
      </c>
      <c r="E56" s="1" t="n">
        <v>46216</v>
      </c>
      <c r="F56" t="inlineStr">
        <is>
          <t>VÄSTRA GÖTALANDS LÄN</t>
        </is>
      </c>
      <c r="G56" t="inlineStr">
        <is>
          <t>TIDAHOLM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46216</v>
      </c>
      <c r="F57" t="inlineStr">
        <is>
          <t>VÄSTRA GÖTALANDS LÄN</t>
        </is>
      </c>
      <c r="G57" t="inlineStr">
        <is>
          <t>TIDAHOLM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20989-2022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44703</v>
      </c>
      <c r="E58" s="1" t="n">
        <v>46216</v>
      </c>
      <c r="F58" t="inlineStr">
        <is>
          <t>VÄSTRA GÖTALANDS LÄN</t>
        </is>
      </c>
      <c r="G58" t="inlineStr">
        <is>
          <t>TIDAHOLM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46216</v>
      </c>
      <c r="F59" t="inlineStr">
        <is>
          <t>VÄSTRA GÖTALANDS LÄN</t>
        </is>
      </c>
      <c r="G59" t="inlineStr">
        <is>
          <t>TIDAHOLM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51535-2022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46216</v>
      </c>
      <c r="F60" t="inlineStr">
        <is>
          <t>VÄSTRA GÖTALANDS LÄN</t>
        </is>
      </c>
      <c r="G60" t="inlineStr">
        <is>
          <t>TIDAHOLM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68293-2021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46216</v>
      </c>
      <c r="F61" t="inlineStr">
        <is>
          <t>VÄSTRA GÖTALANDS LÄN</t>
        </is>
      </c>
      <c r="G61" t="inlineStr">
        <is>
          <t>TIDAHOLM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72690-2021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46216</v>
      </c>
      <c r="F62" t="inlineStr">
        <is>
          <t>VÄSTRA GÖTALANDS LÄN</t>
        </is>
      </c>
      <c r="G62" t="inlineStr">
        <is>
          <t>TIDAHOLM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46216</v>
      </c>
      <c r="F63" t="inlineStr">
        <is>
          <t>VÄSTRA GÖTALANDS LÄN</t>
        </is>
      </c>
      <c r="G63" t="inlineStr">
        <is>
          <t>TIDAHOLM</t>
        </is>
      </c>
      <c r="H63" t="inlineStr">
        <is>
          <t>Kyrkan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54856-2021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46216</v>
      </c>
      <c r="F64" t="inlineStr">
        <is>
          <t>VÄSTRA GÖTALANDS LÄN</t>
        </is>
      </c>
      <c r="G64" t="inlineStr">
        <is>
          <t>TIDAHOLM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10325-2022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44623</v>
      </c>
      <c r="E65" s="1" t="n">
        <v>46216</v>
      </c>
      <c r="F65" t="inlineStr">
        <is>
          <t>VÄSTRA GÖTALANDS LÄN</t>
        </is>
      </c>
      <c r="G65" t="inlineStr">
        <is>
          <t>TIDAHOLM</t>
        </is>
      </c>
      <c r="I65" t="n">
        <v>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18489-2022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44686</v>
      </c>
      <c r="E66" s="1" t="n">
        <v>46216</v>
      </c>
      <c r="F66" t="inlineStr">
        <is>
          <t>VÄSTRA GÖTALANDS LÄN</t>
        </is>
      </c>
      <c r="G66" t="inlineStr">
        <is>
          <t>TIDAHOLM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52806-2021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46216</v>
      </c>
      <c r="F67" t="inlineStr">
        <is>
          <t>VÄSTRA GÖTALANDS LÄN</t>
        </is>
      </c>
      <c r="G67" t="inlineStr">
        <is>
          <t>TIDAHOLM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9159-2022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46216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46216</v>
      </c>
      <c r="F69" t="inlineStr">
        <is>
          <t>VÄSTRA GÖTALANDS LÄN</t>
        </is>
      </c>
      <c r="G69" t="inlineStr">
        <is>
          <t>TIDAHOLM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66823-2021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46216</v>
      </c>
      <c r="F70" t="inlineStr">
        <is>
          <t>VÄSTRA GÖTALANDS LÄN</t>
        </is>
      </c>
      <c r="G70" t="inlineStr">
        <is>
          <t>TIDAHOLM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46216</v>
      </c>
      <c r="F71" t="inlineStr">
        <is>
          <t>VÄSTRA GÖTALANDS LÄN</t>
        </is>
      </c>
      <c r="G71" t="inlineStr">
        <is>
          <t>TIDAHOLM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44589</v>
      </c>
      <c r="E72" s="1" t="n">
        <v>46216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46216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46216</v>
      </c>
      <c r="F74" t="inlineStr">
        <is>
          <t>VÄSTRA GÖTALANDS LÄN</t>
        </is>
      </c>
      <c r="G74" t="inlineStr">
        <is>
          <t>TIDAHOLM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46216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50728-2021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46216</v>
      </c>
      <c r="F76" t="inlineStr">
        <is>
          <t>VÄSTRA GÖTALANDS LÄN</t>
        </is>
      </c>
      <c r="G76" t="inlineStr">
        <is>
          <t>TIDAHOLM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46216</v>
      </c>
      <c r="F77" t="inlineStr">
        <is>
          <t>VÄSTRA GÖTALANDS LÄN</t>
        </is>
      </c>
      <c r="G77" t="inlineStr">
        <is>
          <t>TIDAHOLM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46216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46216</v>
      </c>
      <c r="F79" t="inlineStr">
        <is>
          <t>VÄSTRA GÖTALANDS LÄN</t>
        </is>
      </c>
      <c r="G79" t="inlineStr">
        <is>
          <t>TIDAHOLM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73028-2021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46216</v>
      </c>
      <c r="F80" t="inlineStr">
        <is>
          <t>VÄSTRA GÖTALANDS LÄN</t>
        </is>
      </c>
      <c r="G80" t="inlineStr">
        <is>
          <t>TIDAHOLM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46216</v>
      </c>
      <c r="F81" t="inlineStr">
        <is>
          <t>VÄSTRA GÖTALANDS LÄN</t>
        </is>
      </c>
      <c r="G81" t="inlineStr">
        <is>
          <t>TIDAHOLM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46216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46216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49115-2022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46216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44392</v>
      </c>
      <c r="E85" s="1" t="n">
        <v>46216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46216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36194-2024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45534</v>
      </c>
      <c r="E87" s="1" t="n">
        <v>46216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Allmännings- och besparingsskogar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45425</v>
      </c>
      <c r="E88" s="1" t="n">
        <v>46216</v>
      </c>
      <c r="F88" t="inlineStr">
        <is>
          <t>VÄSTRA GÖTALANDS LÄN</t>
        </is>
      </c>
      <c r="G88" t="inlineStr">
        <is>
          <t>TIDAHOLM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46216</v>
      </c>
      <c r="F89" t="inlineStr">
        <is>
          <t>VÄSTRA GÖTALANDS LÄN</t>
        </is>
      </c>
      <c r="G89" t="inlineStr">
        <is>
          <t>TIDAHOLM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23044-2022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46216</v>
      </c>
      <c r="F90" t="inlineStr">
        <is>
          <t>VÄSTRA GÖTALANDS LÄN</t>
        </is>
      </c>
      <c r="G90" t="inlineStr">
        <is>
          <t>TIDAHOLM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46216</v>
      </c>
      <c r="F91" t="inlineStr">
        <is>
          <t>VÄSTRA GÖTALANDS LÄN</t>
        </is>
      </c>
      <c r="G91" t="inlineStr">
        <is>
          <t>TIDAHOLM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62121-2023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46216</v>
      </c>
      <c r="F92" t="inlineStr">
        <is>
          <t>VÄSTRA GÖTALANDS LÄN</t>
        </is>
      </c>
      <c r="G92" t="inlineStr">
        <is>
          <t>TIDAHOLM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17670-2025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46216</v>
      </c>
      <c r="F93" t="inlineStr">
        <is>
          <t>VÄSTRA GÖTALANDS LÄN</t>
        </is>
      </c>
      <c r="G93" t="inlineStr">
        <is>
          <t>TIDAHOLM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74340-2021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44559</v>
      </c>
      <c r="E94" s="1" t="n">
        <v>46216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58988-2022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46216</v>
      </c>
      <c r="F95" t="inlineStr">
        <is>
          <t>VÄSTRA GÖTALANDS LÄN</t>
        </is>
      </c>
      <c r="G95" t="inlineStr">
        <is>
          <t>TIDAHOLM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46216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29392-2024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46216</v>
      </c>
      <c r="F97" t="inlineStr">
        <is>
          <t>VÄSTRA GÖTALANDS LÄN</t>
        </is>
      </c>
      <c r="G97" t="inlineStr">
        <is>
          <t>TIDAHOLM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39297-2022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46216</v>
      </c>
      <c r="F98" t="inlineStr">
        <is>
          <t>VÄSTRA GÖTALANDS LÄN</t>
        </is>
      </c>
      <c r="G98" t="inlineStr">
        <is>
          <t>TIDAHOLM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28682-2023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46216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46216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28327-2023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46216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46216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60549-2024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45643</v>
      </c>
      <c r="E103" s="1" t="n">
        <v>46216</v>
      </c>
      <c r="F103" t="inlineStr">
        <is>
          <t>VÄSTRA GÖTALANDS LÄN</t>
        </is>
      </c>
      <c r="G103" t="inlineStr">
        <is>
          <t>TIDAHOLM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10609-2025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46216</v>
      </c>
      <c r="F104" t="inlineStr">
        <is>
          <t>VÄSTRA GÖTALANDS LÄN</t>
        </is>
      </c>
      <c r="G104" t="inlineStr">
        <is>
          <t>TIDAHOLM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46037-2024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46216</v>
      </c>
      <c r="F105" t="inlineStr">
        <is>
          <t>VÄSTRA GÖTALANDS LÄN</t>
        </is>
      </c>
      <c r="G105" t="inlineStr">
        <is>
          <t>TIDAHOLM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8373-2022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46216</v>
      </c>
      <c r="F106" t="inlineStr">
        <is>
          <t>VÄSTRA GÖTALANDS LÄN</t>
        </is>
      </c>
      <c r="G106" t="inlineStr">
        <is>
          <t>TIDAHOLM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32439-2023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46216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18257-2023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46216</v>
      </c>
      <c r="F108" t="inlineStr">
        <is>
          <t>VÄSTRA GÖTALANDS LÄN</t>
        </is>
      </c>
      <c r="G108" t="inlineStr">
        <is>
          <t>TIDAHOLM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39570-2023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46216</v>
      </c>
      <c r="F109" t="inlineStr">
        <is>
          <t>VÄSTRA GÖTALANDS LÄN</t>
        </is>
      </c>
      <c r="G109" t="inlineStr">
        <is>
          <t>TIDAHOLM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28984-2024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46216</v>
      </c>
      <c r="F110" t="inlineStr">
        <is>
          <t>VÄSTRA GÖTALANDS LÄN</t>
        </is>
      </c>
      <c r="G110" t="inlineStr">
        <is>
          <t>TIDAHOLM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44860</v>
      </c>
      <c r="E111" s="1" t="n">
        <v>46216</v>
      </c>
      <c r="F111" t="inlineStr">
        <is>
          <t>VÄSTRA GÖTALANDS LÄN</t>
        </is>
      </c>
      <c r="G111" t="inlineStr">
        <is>
          <t>TIDAHOLM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15194-2023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46216</v>
      </c>
      <c r="F112" t="inlineStr">
        <is>
          <t>VÄSTRA GÖTALANDS LÄN</t>
        </is>
      </c>
      <c r="G112" t="inlineStr">
        <is>
          <t>TIDAHOLM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18095-2024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46216</v>
      </c>
      <c r="F113" t="inlineStr">
        <is>
          <t>VÄSTRA GÖTALANDS LÄN</t>
        </is>
      </c>
      <c r="G113" t="inlineStr">
        <is>
          <t>TIDAHOLM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45314</v>
      </c>
      <c r="E114" s="1" t="n">
        <v>46216</v>
      </c>
      <c r="F114" t="inlineStr">
        <is>
          <t>VÄSTRA GÖTALANDS LÄN</t>
        </is>
      </c>
      <c r="G114" t="inlineStr">
        <is>
          <t>TIDAHOLM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46216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46216</v>
      </c>
      <c r="F116" t="inlineStr">
        <is>
          <t>VÄSTRA GÖTALANDS LÄN</t>
        </is>
      </c>
      <c r="G116" t="inlineStr">
        <is>
          <t>TIDAHOLM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54130-2023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45232</v>
      </c>
      <c r="E117" s="1" t="n">
        <v>46216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Kyrkan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55780-2021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44476</v>
      </c>
      <c r="E118" s="1" t="n">
        <v>46216</v>
      </c>
      <c r="F118" t="inlineStr">
        <is>
          <t>VÄSTRA GÖTALANDS LÄN</t>
        </is>
      </c>
      <c r="G118" t="inlineStr">
        <is>
          <t>TIDAHOLM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46216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12026-2022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44636</v>
      </c>
      <c r="E120" s="1" t="n">
        <v>46216</v>
      </c>
      <c r="F120" t="inlineStr">
        <is>
          <t>VÄSTRA GÖTALANDS LÄN</t>
        </is>
      </c>
      <c r="G120" t="inlineStr">
        <is>
          <t>TIDAHOLM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38659-2025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46216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Kyrkan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40527-2023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46216</v>
      </c>
      <c r="F122" t="inlineStr">
        <is>
          <t>VÄSTRA GÖTALANDS LÄN</t>
        </is>
      </c>
      <c r="G122" t="inlineStr">
        <is>
          <t>TIDAHOLM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7931-2024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46216</v>
      </c>
      <c r="F123" t="inlineStr">
        <is>
          <t>VÄSTRA GÖTALANDS LÄN</t>
        </is>
      </c>
      <c r="G123" t="inlineStr">
        <is>
          <t>TIDAHOLM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12080-2023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44997</v>
      </c>
      <c r="E124" s="1" t="n">
        <v>46216</v>
      </c>
      <c r="F124" t="inlineStr">
        <is>
          <t>VÄSTRA GÖTALANDS LÄN</t>
        </is>
      </c>
      <c r="G124" t="inlineStr">
        <is>
          <t>TIDAHOLM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46216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35479-2023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45146</v>
      </c>
      <c r="E126" s="1" t="n">
        <v>46216</v>
      </c>
      <c r="F126" t="inlineStr">
        <is>
          <t>VÄSTRA GÖTALANDS LÄN</t>
        </is>
      </c>
      <c r="G126" t="inlineStr">
        <is>
          <t>TIDAHOLM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39931-2025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45891</v>
      </c>
      <c r="E127" s="1" t="n">
        <v>46216</v>
      </c>
      <c r="F127" t="inlineStr">
        <is>
          <t>VÄSTRA GÖTALANDS LÄN</t>
        </is>
      </c>
      <c r="G127" t="inlineStr">
        <is>
          <t>TIDAHOLM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28190-2025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46216</v>
      </c>
      <c r="F128" t="inlineStr">
        <is>
          <t>VÄSTRA GÖTALANDS LÄN</t>
        </is>
      </c>
      <c r="G128" t="inlineStr">
        <is>
          <t>TIDAHOLM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46216</v>
      </c>
      <c r="F129" t="inlineStr">
        <is>
          <t>VÄSTRA GÖTALANDS LÄN</t>
        </is>
      </c>
      <c r="G129" t="inlineStr">
        <is>
          <t>TIDAHOLM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59140-2024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46216</v>
      </c>
      <c r="F130" t="inlineStr">
        <is>
          <t>VÄSTRA GÖTALANDS LÄN</t>
        </is>
      </c>
      <c r="G130" t="inlineStr">
        <is>
          <t>TIDAHOLM</t>
        </is>
      </c>
      <c r="I130" t="n">
        <v>9.5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45068</v>
      </c>
      <c r="E131" s="1" t="n">
        <v>46216</v>
      </c>
      <c r="F131" t="inlineStr">
        <is>
          <t>VÄSTRA GÖTALANDS LÄN</t>
        </is>
      </c>
      <c r="G131" t="inlineStr">
        <is>
          <t>TIDAHOLM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41347-2025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45899</v>
      </c>
      <c r="E132" s="1" t="n">
        <v>46216</v>
      </c>
      <c r="F132" t="inlineStr">
        <is>
          <t>VÄSTRA GÖTALANDS LÄN</t>
        </is>
      </c>
      <c r="G132" t="inlineStr">
        <is>
          <t>TIDAHOLM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22480-2025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45786</v>
      </c>
      <c r="E133" s="1" t="n">
        <v>46216</v>
      </c>
      <c r="F133" t="inlineStr">
        <is>
          <t>VÄSTRA GÖTALANDS LÄN</t>
        </is>
      </c>
      <c r="G133" t="inlineStr">
        <is>
          <t>TIDAHOLM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29182-2025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46216</v>
      </c>
      <c r="F134" t="inlineStr">
        <is>
          <t>VÄSTRA GÖTALANDS LÄN</t>
        </is>
      </c>
      <c r="G134" t="inlineStr">
        <is>
          <t>TIDAHOLM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46216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46216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46216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46216</v>
      </c>
      <c r="F138" t="inlineStr">
        <is>
          <t>VÄSTRA GÖTALANDS LÄN</t>
        </is>
      </c>
      <c r="G138" t="inlineStr">
        <is>
          <t>TIDAHOLM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46216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46216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27232-2023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46216</v>
      </c>
      <c r="F141" t="inlineStr">
        <is>
          <t>VÄSTRA GÖTALANDS LÄN</t>
        </is>
      </c>
      <c r="G141" t="inlineStr">
        <is>
          <t>TIDAHOLM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22086-2024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46216</v>
      </c>
      <c r="F142" t="inlineStr">
        <is>
          <t>VÄSTRA GÖTALANDS LÄN</t>
        </is>
      </c>
      <c r="G142" t="inlineStr">
        <is>
          <t>TIDAHOLM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21904-2025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46216</v>
      </c>
      <c r="F143" t="inlineStr">
        <is>
          <t>VÄSTRA GÖTALANDS LÄN</t>
        </is>
      </c>
      <c r="G143" t="inlineStr">
        <is>
          <t>TIDAHOLM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43926-2025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46216</v>
      </c>
      <c r="F144" t="inlineStr">
        <is>
          <t>VÄSTRA GÖTALANDS LÄN</t>
        </is>
      </c>
      <c r="G144" t="inlineStr">
        <is>
          <t>TIDAHOLM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32563-2025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46216</v>
      </c>
      <c r="F145" t="inlineStr">
        <is>
          <t>VÄSTRA GÖTALANDS LÄN</t>
        </is>
      </c>
      <c r="G145" t="inlineStr">
        <is>
          <t>TIDAHOLM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32560-2025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46216</v>
      </c>
      <c r="F146" t="inlineStr">
        <is>
          <t>VÄSTRA GÖTALANDS LÄN</t>
        </is>
      </c>
      <c r="G146" t="inlineStr">
        <is>
          <t>TIDAHOLM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49050-2021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44453</v>
      </c>
      <c r="E147" s="1" t="n">
        <v>46216</v>
      </c>
      <c r="F147" t="inlineStr">
        <is>
          <t>VÄSTRA GÖTALANDS LÄN</t>
        </is>
      </c>
      <c r="G147" t="inlineStr">
        <is>
          <t>TIDAHOLM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59139-2024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46216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1941-2025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45672</v>
      </c>
      <c r="E149" s="1" t="n">
        <v>46216</v>
      </c>
      <c r="F149" t="inlineStr">
        <is>
          <t>VÄSTRA GÖTALANDS LÄN</t>
        </is>
      </c>
      <c r="G149" t="inlineStr">
        <is>
          <t>TIDAHOLM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45170-2025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46216</v>
      </c>
      <c r="F150" t="inlineStr">
        <is>
          <t>VÄSTRA GÖTALANDS LÄN</t>
        </is>
      </c>
      <c r="G150" t="inlineStr">
        <is>
          <t>TIDAHOLM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33709-2025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46216</v>
      </c>
      <c r="F151" t="inlineStr">
        <is>
          <t>VÄSTRA GÖTALANDS LÄN</t>
        </is>
      </c>
      <c r="G151" t="inlineStr">
        <is>
          <t>TIDAHOLM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21170-2025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45779</v>
      </c>
      <c r="E152" s="1" t="n">
        <v>46216</v>
      </c>
      <c r="F152" t="inlineStr">
        <is>
          <t>VÄSTRA GÖTALANDS LÄN</t>
        </is>
      </c>
      <c r="G152" t="inlineStr">
        <is>
          <t>TIDAHOLM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42338-2022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46216</v>
      </c>
      <c r="F153" t="inlineStr">
        <is>
          <t>VÄSTRA GÖTALANDS LÄN</t>
        </is>
      </c>
      <c r="G153" t="inlineStr">
        <is>
          <t>TIDAHOLM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45669</v>
      </c>
      <c r="E154" s="1" t="n">
        <v>46216</v>
      </c>
      <c r="F154" t="inlineStr">
        <is>
          <t>VÄSTRA GÖTALANDS LÄN</t>
        </is>
      </c>
      <c r="G154" t="inlineStr">
        <is>
          <t>TIDAHOLM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46216</v>
      </c>
      <c r="F155" t="inlineStr">
        <is>
          <t>VÄSTRA GÖTALANDS LÄN</t>
        </is>
      </c>
      <c r="G155" t="inlineStr">
        <is>
          <t>TIDAHOLM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46216</v>
      </c>
      <c r="F156" t="inlineStr">
        <is>
          <t>VÄSTRA GÖTALANDS LÄN</t>
        </is>
      </c>
      <c r="G156" t="inlineStr">
        <is>
          <t>TIDAHOLM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14334-2025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45740</v>
      </c>
      <c r="E157" s="1" t="n">
        <v>46216</v>
      </c>
      <c r="F157" t="inlineStr">
        <is>
          <t>VÄSTRA GÖTALANDS LÄN</t>
        </is>
      </c>
      <c r="G157" t="inlineStr">
        <is>
          <t>TIDAHOLM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46216</v>
      </c>
      <c r="F158" t="inlineStr">
        <is>
          <t>VÄSTRA GÖTALANDS LÄN</t>
        </is>
      </c>
      <c r="G158" t="inlineStr">
        <is>
          <t>TIDAHOLM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56013-2024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46216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23283-2022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46216</v>
      </c>
      <c r="F160" t="inlineStr">
        <is>
          <t>VÄSTRA GÖTALANDS LÄN</t>
        </is>
      </c>
      <c r="G160" t="inlineStr">
        <is>
          <t>TIDAHOLM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46216</v>
      </c>
      <c r="F161" t="inlineStr">
        <is>
          <t>VÄSTRA GÖTALANDS LÄN</t>
        </is>
      </c>
      <c r="G161" t="inlineStr">
        <is>
          <t>TIDAHOLM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35388-2025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45855</v>
      </c>
      <c r="E162" s="1" t="n">
        <v>46216</v>
      </c>
      <c r="F162" t="inlineStr">
        <is>
          <t>VÄSTRA GÖTALANDS LÄN</t>
        </is>
      </c>
      <c r="G162" t="inlineStr">
        <is>
          <t>TIDAHOLM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50078-2023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46216</v>
      </c>
      <c r="F163" t="inlineStr">
        <is>
          <t>VÄSTRA GÖTALANDS LÄN</t>
        </is>
      </c>
      <c r="G163" t="inlineStr">
        <is>
          <t>TIDAHOLM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49786-2023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46216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47401-2025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46216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27354-2024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45473</v>
      </c>
      <c r="E166" s="1" t="n">
        <v>46216</v>
      </c>
      <c r="F166" t="inlineStr">
        <is>
          <t>VÄSTRA GÖTALANDS LÄN</t>
        </is>
      </c>
      <c r="G166" t="inlineStr">
        <is>
          <t>TIDAHOLM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35795-2025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45861</v>
      </c>
      <c r="E167" s="1" t="n">
        <v>46216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9374-2024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46216</v>
      </c>
      <c r="F168" t="inlineStr">
        <is>
          <t>VÄSTRA GÖTALANDS LÄN</t>
        </is>
      </c>
      <c r="G168" t="inlineStr">
        <is>
          <t>TIDAHOLM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47370-2025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45930</v>
      </c>
      <c r="E169" s="1" t="n">
        <v>46216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35315-2025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45854</v>
      </c>
      <c r="E170" s="1" t="n">
        <v>46216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39015-2024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46216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44456-2023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46216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Allmännings- och besparingsskogar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46216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46216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47387-2025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46216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46216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29177-2023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46216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46216</v>
      </c>
      <c r="F178" t="inlineStr">
        <is>
          <t>VÄSTRA GÖTALANDS LÄN</t>
        </is>
      </c>
      <c r="G178" t="inlineStr">
        <is>
          <t>TIDAHOLM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45336</v>
      </c>
      <c r="E179" s="1" t="n">
        <v>46216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46216</v>
      </c>
      <c r="F180" t="inlineStr">
        <is>
          <t>VÄSTRA GÖTALANDS LÄN</t>
        </is>
      </c>
      <c r="G180" t="inlineStr">
        <is>
          <t>TIDAHOLM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46113-2024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45581</v>
      </c>
      <c r="E181" s="1" t="n">
        <v>46216</v>
      </c>
      <c r="F181" t="inlineStr">
        <is>
          <t>VÄSTRA GÖTALANDS LÄN</t>
        </is>
      </c>
      <c r="G181" t="inlineStr">
        <is>
          <t>TIDAHOLM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48906-2025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46216</v>
      </c>
      <c r="F182" t="inlineStr">
        <is>
          <t>VÄSTRA GÖTALANDS LÄN</t>
        </is>
      </c>
      <c r="G182" t="inlineStr">
        <is>
          <t>TIDAHOLM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56016-2023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46216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Kyrkan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28671-2023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46216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Kyrkan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38119-2025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46216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Allmännings- och besparingsskogar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44945</v>
      </c>
      <c r="E186" s="1" t="n">
        <v>46216</v>
      </c>
      <c r="F186" t="inlineStr">
        <is>
          <t>VÄSTRA GÖTALANDS LÄN</t>
        </is>
      </c>
      <c r="G186" t="inlineStr">
        <is>
          <t>TIDAHOLM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45556</v>
      </c>
      <c r="E187" s="1" t="n">
        <v>46216</v>
      </c>
      <c r="F187" t="inlineStr">
        <is>
          <t>VÄSTRA GÖTALANDS LÄN</t>
        </is>
      </c>
      <c r="G187" t="inlineStr">
        <is>
          <t>TIDAHOLM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46216</v>
      </c>
      <c r="F188" t="inlineStr">
        <is>
          <t>VÄSTRA GÖTALANDS LÄN</t>
        </is>
      </c>
      <c r="G188" t="inlineStr">
        <is>
          <t>TIDAHOLM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39315-2022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46216</v>
      </c>
      <c r="F189" t="inlineStr">
        <is>
          <t>VÄSTRA GÖTALANDS LÄN</t>
        </is>
      </c>
      <c r="G189" t="inlineStr">
        <is>
          <t>TIDAHOLM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45672</v>
      </c>
      <c r="E190" s="1" t="n">
        <v>46216</v>
      </c>
      <c r="F190" t="inlineStr">
        <is>
          <t>VÄSTRA GÖTALANDS LÄN</t>
        </is>
      </c>
      <c r="G190" t="inlineStr">
        <is>
          <t>TIDAHOLM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45669</v>
      </c>
      <c r="E191" s="1" t="n">
        <v>46216</v>
      </c>
      <c r="F191" t="inlineStr">
        <is>
          <t>VÄSTRA GÖTALANDS LÄN</t>
        </is>
      </c>
      <c r="G191" t="inlineStr">
        <is>
          <t>TIDAHOLM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3554-2026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46216</v>
      </c>
      <c r="F192" t="inlineStr">
        <is>
          <t>VÄSTRA GÖTALANDS LÄN</t>
        </is>
      </c>
      <c r="G192" t="inlineStr">
        <is>
          <t>TIDAHOLM</t>
        </is>
      </c>
      <c r="I192" t="n">
        <v>23.4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32591-2022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46216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46216</v>
      </c>
      <c r="F194" t="inlineStr">
        <is>
          <t>VÄSTRA GÖTALANDS LÄN</t>
        </is>
      </c>
      <c r="G194" t="inlineStr">
        <is>
          <t>TIDAHOLM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54298-2023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46216</v>
      </c>
      <c r="F195" t="inlineStr">
        <is>
          <t>VÄSTRA GÖTALANDS LÄN</t>
        </is>
      </c>
      <c r="G195" t="inlineStr">
        <is>
          <t>TIDAHOLM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54561-2025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46216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27822-2023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46216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Kyrkan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46216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54941-2025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46216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46216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54922-2025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46216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54957-2025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46216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46216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54930-2025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46216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46216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46216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46216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46216</v>
      </c>
      <c r="F208" t="inlineStr">
        <is>
          <t>VÄSTRA GÖTALANDS LÄN</t>
        </is>
      </c>
      <c r="G208" t="inlineStr">
        <is>
          <t>TIDAHOLM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57576-2024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46216</v>
      </c>
      <c r="F209" t="inlineStr">
        <is>
          <t>VÄSTRA GÖTALANDS LÄN</t>
        </is>
      </c>
      <c r="G209" t="inlineStr">
        <is>
          <t>TIDAHOLM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57964-2022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46216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57969-2022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46216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52030-2024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45608</v>
      </c>
      <c r="E212" s="1" t="n">
        <v>46216</v>
      </c>
      <c r="F212" t="inlineStr">
        <is>
          <t>VÄSTRA GÖTALANDS LÄN</t>
        </is>
      </c>
      <c r="G212" t="inlineStr">
        <is>
          <t>TIDAHOLM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57124-2025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46216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57780-2025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46216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46216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Kommuner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46216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7497-2026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46216</v>
      </c>
      <c r="F217" t="inlineStr">
        <is>
          <t>VÄSTRA GÖTALANDS LÄN</t>
        </is>
      </c>
      <c r="G217" t="inlineStr">
        <is>
          <t>TIDAHOLM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46216</v>
      </c>
      <c r="F218" t="inlineStr">
        <is>
          <t>VÄSTRA GÖTALANDS LÄN</t>
        </is>
      </c>
      <c r="G218" t="inlineStr">
        <is>
          <t>TIDAHOLM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28495-2024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46216</v>
      </c>
      <c r="F219" t="inlineStr">
        <is>
          <t>VÄSTRA GÖTALANDS LÄN</t>
        </is>
      </c>
      <c r="G219" t="inlineStr">
        <is>
          <t>TIDAHOLM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8163-2026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46216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56756-2024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46216</v>
      </c>
      <c r="F221" t="inlineStr">
        <is>
          <t>VÄSTRA GÖTALANDS LÄN</t>
        </is>
      </c>
      <c r="G221" t="inlineStr">
        <is>
          <t>TIDAHOLM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45468-2024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46216</v>
      </c>
      <c r="F222" t="inlineStr">
        <is>
          <t>VÄSTRA GÖTALANDS LÄN</t>
        </is>
      </c>
      <c r="G222" t="inlineStr">
        <is>
          <t>TIDAHOLM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64874-2023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46216</v>
      </c>
      <c r="F223" t="inlineStr">
        <is>
          <t>VÄSTRA GÖTALANDS LÄN</t>
        </is>
      </c>
      <c r="G223" t="inlineStr">
        <is>
          <t>TIDAHOLM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27525-2024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46216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46216</v>
      </c>
      <c r="F225" t="inlineStr">
        <is>
          <t>VÄSTRA GÖTALANDS LÄN</t>
        </is>
      </c>
      <c r="G225" t="inlineStr">
        <is>
          <t>TIDAHOLM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32670-2023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45121</v>
      </c>
      <c r="E226" s="1" t="n">
        <v>46216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Kommuner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62329-2025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46216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Kyrkan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46009-2024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45580</v>
      </c>
      <c r="E228" s="1" t="n">
        <v>46216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57958-2022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46216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11296-2026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46080</v>
      </c>
      <c r="E230" s="1" t="n">
        <v>46216</v>
      </c>
      <c r="F230" t="inlineStr">
        <is>
          <t>VÄSTRA GÖTALANDS LÄN</t>
        </is>
      </c>
      <c r="G230" t="inlineStr">
        <is>
          <t>TIDAHOLM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10909-2026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46216</v>
      </c>
      <c r="F231" t="inlineStr">
        <is>
          <t>VÄSTRA GÖTALANDS LÄN</t>
        </is>
      </c>
      <c r="G231" t="inlineStr">
        <is>
          <t>TIDAHOLM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8545-2025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46216</v>
      </c>
      <c r="F232" t="inlineStr">
        <is>
          <t>VÄSTRA GÖTALANDS LÄN</t>
        </is>
      </c>
      <c r="G232" t="inlineStr">
        <is>
          <t>TIDAHOLM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11291-2026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46080</v>
      </c>
      <c r="E233" s="1" t="n">
        <v>46216</v>
      </c>
      <c r="F233" t="inlineStr">
        <is>
          <t>VÄSTRA GÖTALANDS LÄN</t>
        </is>
      </c>
      <c r="G233" t="inlineStr">
        <is>
          <t>TIDAHOLM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11622-2026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46216</v>
      </c>
      <c r="F234" t="inlineStr">
        <is>
          <t>VÄSTRA GÖTALANDS LÄN</t>
        </is>
      </c>
      <c r="G234" t="inlineStr">
        <is>
          <t>TIDAHOLM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11684-2026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46216</v>
      </c>
      <c r="F235" t="inlineStr">
        <is>
          <t>VÄSTRA GÖTALANDS LÄN</t>
        </is>
      </c>
      <c r="G235" t="inlineStr">
        <is>
          <t>TIDAHOLM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11717-2026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46216</v>
      </c>
      <c r="F236" t="inlineStr">
        <is>
          <t>VÄSTRA GÖTALANDS LÄN</t>
        </is>
      </c>
      <c r="G236" t="inlineStr">
        <is>
          <t>TIDAHOLM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46216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46216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46216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46216</v>
      </c>
      <c r="F240" t="inlineStr">
        <is>
          <t>VÄSTRA GÖTALANDS LÄN</t>
        </is>
      </c>
      <c r="G240" t="inlineStr">
        <is>
          <t>TIDAHOLM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46216</v>
      </c>
      <c r="F241" t="inlineStr">
        <is>
          <t>VÄSTRA GÖTALANDS LÄN</t>
        </is>
      </c>
      <c r="G241" t="inlineStr">
        <is>
          <t>TIDAHOLM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37168-2024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46216</v>
      </c>
      <c r="F242" t="inlineStr">
        <is>
          <t>VÄSTRA GÖTALANDS LÄN</t>
        </is>
      </c>
      <c r="G242" t="inlineStr">
        <is>
          <t>TIDAHOLM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63679-2025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46216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Kommuner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7749-2023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46216</v>
      </c>
      <c r="F244" t="inlineStr">
        <is>
          <t>VÄSTRA GÖTALANDS LÄN</t>
        </is>
      </c>
      <c r="G244" t="inlineStr">
        <is>
          <t>TIDAHOLM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2658-2022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46216</v>
      </c>
      <c r="F245" t="inlineStr">
        <is>
          <t>VÄSTRA GÖTALANDS LÄN</t>
        </is>
      </c>
      <c r="G245" t="inlineStr">
        <is>
          <t>TIDAHOLM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46216</v>
      </c>
      <c r="F246" t="inlineStr">
        <is>
          <t>VÄSTRA GÖTALANDS LÄN</t>
        </is>
      </c>
      <c r="G246" t="inlineStr">
        <is>
          <t>TIDAHOLM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54122-2023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46216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22.5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46216</v>
      </c>
      <c r="F248" t="inlineStr">
        <is>
          <t>VÄSTRA GÖTALANDS LÄN</t>
        </is>
      </c>
      <c r="G248" t="inlineStr">
        <is>
          <t>TIDAHOLM</t>
        </is>
      </c>
      <c r="I248" t="n">
        <v>13.7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29288-2023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46216</v>
      </c>
      <c r="F249" t="inlineStr">
        <is>
          <t>VÄSTRA GÖTALANDS LÄN</t>
        </is>
      </c>
      <c r="G249" t="inlineStr">
        <is>
          <t>TIDAHOLM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16651-2023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45030</v>
      </c>
      <c r="E250" s="1" t="n">
        <v>46216</v>
      </c>
      <c r="F250" t="inlineStr">
        <is>
          <t>VÄSTRA GÖTALANDS LÄN</t>
        </is>
      </c>
      <c r="G250" t="inlineStr">
        <is>
          <t>TIDAHOLM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26521-2024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46216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46216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46216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26538-2024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46216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68631-2021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46216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14099-2026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46216</v>
      </c>
      <c r="F256" t="inlineStr">
        <is>
          <t>VÄSTRA GÖTALANDS LÄN</t>
        </is>
      </c>
      <c r="G256" t="inlineStr">
        <is>
          <t>TIDAHOLM</t>
        </is>
      </c>
      <c r="I256" t="n">
        <v>16.2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46216</v>
      </c>
      <c r="F257" t="inlineStr">
        <is>
          <t>VÄSTRA GÖTALANDS LÄN</t>
        </is>
      </c>
      <c r="G257" t="inlineStr">
        <is>
          <t>TIDAHOLM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44973</v>
      </c>
      <c r="E258" s="1" t="n">
        <v>46216</v>
      </c>
      <c r="F258" t="inlineStr">
        <is>
          <t>VÄSTRA GÖTALANDS LÄN</t>
        </is>
      </c>
      <c r="G258" t="inlineStr">
        <is>
          <t>TIDAHOLM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37070-2022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46216</v>
      </c>
      <c r="F259" t="inlineStr">
        <is>
          <t>VÄSTRA GÖTALANDS LÄN</t>
        </is>
      </c>
      <c r="G259" t="inlineStr">
        <is>
          <t>TIDAHOLM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49865-2024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45596</v>
      </c>
      <c r="E260" s="1" t="n">
        <v>46216</v>
      </c>
      <c r="F260" t="inlineStr">
        <is>
          <t>VÄSTRA GÖTALANDS LÄN</t>
        </is>
      </c>
      <c r="G260" t="inlineStr">
        <is>
          <t>TIDAHOLM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8403-2024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46216</v>
      </c>
      <c r="F261" t="inlineStr">
        <is>
          <t>VÄSTRA GÖTALANDS LÄN</t>
        </is>
      </c>
      <c r="G261" t="inlineStr">
        <is>
          <t>TIDAHOLM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51287-2024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46216</v>
      </c>
      <c r="F262" t="inlineStr">
        <is>
          <t>VÄSTRA GÖTALANDS LÄN</t>
        </is>
      </c>
      <c r="G262" t="inlineStr">
        <is>
          <t>TIDAHOLM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51288-2024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46216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60645-2022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46216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15268-2026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46216</v>
      </c>
      <c r="F265" t="inlineStr">
        <is>
          <t>VÄSTRA GÖTALANDS LÄN</t>
        </is>
      </c>
      <c r="G265" t="inlineStr">
        <is>
          <t>TIDAHOLM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15284-2026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46216</v>
      </c>
      <c r="F266" t="inlineStr">
        <is>
          <t>VÄSTRA GÖTALANDS LÄN</t>
        </is>
      </c>
      <c r="G266" t="inlineStr">
        <is>
          <t>TIDAHOLM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35142-2024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45530</v>
      </c>
      <c r="E267" s="1" t="n">
        <v>46216</v>
      </c>
      <c r="F267" t="inlineStr">
        <is>
          <t>VÄSTRA GÖTALANDS LÄN</t>
        </is>
      </c>
      <c r="G267" t="inlineStr">
        <is>
          <t>TIDAHOLM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22084-2024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46216</v>
      </c>
      <c r="F268" t="inlineStr">
        <is>
          <t>VÄSTRA GÖTALANDS LÄN</t>
        </is>
      </c>
      <c r="G268" t="inlineStr">
        <is>
          <t>TIDAHOLM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11444-2022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44630</v>
      </c>
      <c r="E269" s="1" t="n">
        <v>46216</v>
      </c>
      <c r="F269" t="inlineStr">
        <is>
          <t>VÄSTRA GÖTALANDS LÄN</t>
        </is>
      </c>
      <c r="G269" t="inlineStr">
        <is>
          <t>TIDAHOLM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46216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17083-2026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46216</v>
      </c>
      <c r="F271" t="inlineStr">
        <is>
          <t>VÄSTRA GÖTALANDS LÄN</t>
        </is>
      </c>
      <c r="G271" t="inlineStr">
        <is>
          <t>TIDAHOLM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35140-2024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46216</v>
      </c>
      <c r="F272" t="inlineStr">
        <is>
          <t>VÄSTRA GÖTALANDS LÄN</t>
        </is>
      </c>
      <c r="G272" t="inlineStr">
        <is>
          <t>TIDAHOLM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60207-2022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44910</v>
      </c>
      <c r="E273" s="1" t="n">
        <v>46216</v>
      </c>
      <c r="F273" t="inlineStr">
        <is>
          <t>VÄSTRA GÖTALANDS LÄN</t>
        </is>
      </c>
      <c r="G273" t="inlineStr">
        <is>
          <t>TIDAHOLM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49157-2024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46216</v>
      </c>
      <c r="F274" t="inlineStr">
        <is>
          <t>VÄSTRA GÖTALANDS LÄN</t>
        </is>
      </c>
      <c r="G274" t="inlineStr">
        <is>
          <t>TIDAHOLM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17968-2026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46123</v>
      </c>
      <c r="E275" s="1" t="n">
        <v>46216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27312-2023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46216</v>
      </c>
      <c r="F276" t="inlineStr">
        <is>
          <t>VÄSTRA GÖTALANDS LÄN</t>
        </is>
      </c>
      <c r="G276" t="inlineStr">
        <is>
          <t>TIDAHOLM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17339-2024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46216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18911-2026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46129</v>
      </c>
      <c r="E278" s="1" t="n">
        <v>46216</v>
      </c>
      <c r="F278" t="inlineStr">
        <is>
          <t>VÄSTRA GÖTALANDS LÄN</t>
        </is>
      </c>
      <c r="G278" t="inlineStr">
        <is>
          <t>TIDAHOLM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73728-2021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44552</v>
      </c>
      <c r="E279" s="1" t="n">
        <v>46216</v>
      </c>
      <c r="F279" t="inlineStr">
        <is>
          <t>VÄSTRA GÖTALANDS LÄN</t>
        </is>
      </c>
      <c r="G279" t="inlineStr">
        <is>
          <t>TIDAHOLM</t>
        </is>
      </c>
      <c r="I279" t="n">
        <v>9.4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25261-2026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46216</v>
      </c>
      <c r="F280" t="inlineStr">
        <is>
          <t>VÄSTRA GÖTALANDS LÄN</t>
        </is>
      </c>
      <c r="G280" t="inlineStr">
        <is>
          <t>TIDAHOLM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25260-2026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46216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25263-2026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46216</v>
      </c>
      <c r="F282" t="inlineStr">
        <is>
          <t>VÄSTRA GÖTALANDS LÄN</t>
        </is>
      </c>
      <c r="G282" t="inlineStr">
        <is>
          <t>TIDAHOLM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26550-2024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46216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72683-2021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44546</v>
      </c>
      <c r="E284" s="1" t="n">
        <v>46216</v>
      </c>
      <c r="F284" t="inlineStr">
        <is>
          <t>VÄSTRA GÖTALANDS LÄN</t>
        </is>
      </c>
      <c r="G284" t="inlineStr">
        <is>
          <t>TIDAHOLM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19028-2026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46131</v>
      </c>
      <c r="E285" s="1" t="n">
        <v>46216</v>
      </c>
      <c r="F285" t="inlineStr">
        <is>
          <t>VÄSTRA GÖTALANDS LÄN</t>
        </is>
      </c>
      <c r="G285" t="inlineStr">
        <is>
          <t>TIDAHOLM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46216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34842-2024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45526</v>
      </c>
      <c r="E287" s="1" t="n">
        <v>46216</v>
      </c>
      <c r="F287" t="inlineStr">
        <is>
          <t>VÄSTRA GÖTALANDS LÄN</t>
        </is>
      </c>
      <c r="G287" t="inlineStr">
        <is>
          <t>TIDAHOLM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45048</v>
      </c>
      <c r="E288" s="1" t="n">
        <v>46216</v>
      </c>
      <c r="F288" t="inlineStr">
        <is>
          <t>VÄSTRA GÖTALANDS LÄN</t>
        </is>
      </c>
      <c r="G288" t="inlineStr">
        <is>
          <t>TIDAHOLM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60643-2022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44911</v>
      </c>
      <c r="E289" s="1" t="n">
        <v>46216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60644-2022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46216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12551-2023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45000</v>
      </c>
      <c r="E291" s="1" t="n">
        <v>46216</v>
      </c>
      <c r="F291" t="inlineStr">
        <is>
          <t>VÄSTRA GÖTALANDS LÄN</t>
        </is>
      </c>
      <c r="G291" t="inlineStr">
        <is>
          <t>TIDAHOLM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25978-2026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46216</v>
      </c>
      <c r="F292" t="inlineStr">
        <is>
          <t>VÄSTRA GÖTALANDS LÄN</t>
        </is>
      </c>
      <c r="G292" t="inlineStr">
        <is>
          <t>TIDAHOLM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14907-2023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45013</v>
      </c>
      <c r="E293" s="1" t="n">
        <v>46216</v>
      </c>
      <c r="F293" t="inlineStr">
        <is>
          <t>VÄSTRA GÖTALANDS LÄN</t>
        </is>
      </c>
      <c r="G293" t="inlineStr">
        <is>
          <t>TIDAHOLM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18249-2022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44685</v>
      </c>
      <c r="E294" s="1" t="n">
        <v>46216</v>
      </c>
      <c r="F294" t="inlineStr">
        <is>
          <t>VÄSTRA GÖTALANDS LÄN</t>
        </is>
      </c>
      <c r="G294" t="inlineStr">
        <is>
          <t>TIDAHOLM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19038-2023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45047</v>
      </c>
      <c r="E295" s="1" t="n">
        <v>46216</v>
      </c>
      <c r="F295" t="inlineStr">
        <is>
          <t>VÄSTRA GÖTALANDS LÄN</t>
        </is>
      </c>
      <c r="G295" t="inlineStr">
        <is>
          <t>TIDAHOLM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26017-2026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46216</v>
      </c>
      <c r="F296" t="inlineStr">
        <is>
          <t>VÄSTRA GÖTALANDS LÄN</t>
        </is>
      </c>
      <c r="G296" t="inlineStr">
        <is>
          <t>TIDAHOLM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47912-2023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46216</v>
      </c>
      <c r="F297" t="inlineStr">
        <is>
          <t>VÄSTRA GÖTALANDS LÄN</t>
        </is>
      </c>
      <c r="G297" t="inlineStr">
        <is>
          <t>TIDAHOLM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26534-2024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46216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26548-2024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46216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45311</v>
      </c>
      <c r="E300" s="1" t="n">
        <v>46216</v>
      </c>
      <c r="F300" t="inlineStr">
        <is>
          <t>VÄSTRA GÖTALANDS LÄN</t>
        </is>
      </c>
      <c r="G300" t="inlineStr">
        <is>
          <t>TIDAHOLM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21900-2025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45784</v>
      </c>
      <c r="E301" s="1" t="n">
        <v>46216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46216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37077-2025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45875</v>
      </c>
      <c r="E303" s="1" t="n">
        <v>46216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35725-2023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46216</v>
      </c>
      <c r="F304" t="inlineStr">
        <is>
          <t>VÄSTRA GÖTALANDS LÄN</t>
        </is>
      </c>
      <c r="G304" t="inlineStr">
        <is>
          <t>TIDAHOLM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45464-2024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46216</v>
      </c>
      <c r="F305" t="inlineStr">
        <is>
          <t>VÄSTRA GÖTALANDS LÄN</t>
        </is>
      </c>
      <c r="G305" t="inlineStr">
        <is>
          <t>TIDAHOLM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44930</v>
      </c>
      <c r="E306" s="1" t="n">
        <v>46216</v>
      </c>
      <c r="F306" t="inlineStr">
        <is>
          <t>VÄSTRA GÖTALANDS LÄN</t>
        </is>
      </c>
      <c r="G306" t="inlineStr">
        <is>
          <t>TIDAHOLM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26123-2026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46216</v>
      </c>
      <c r="F307" t="inlineStr">
        <is>
          <t>VÄSTRA GÖTALANDS LÄN</t>
        </is>
      </c>
      <c r="G307" t="inlineStr">
        <is>
          <t>TIDAHOLM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7917-2023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44973</v>
      </c>
      <c r="E308" s="1" t="n">
        <v>46216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45165-2025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45919</v>
      </c>
      <c r="E309" s="1" t="n">
        <v>46216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49309-2021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44454</v>
      </c>
      <c r="E310" s="1" t="n">
        <v>46216</v>
      </c>
      <c r="F310" t="inlineStr">
        <is>
          <t>VÄSTRA GÖTALANDS LÄN</t>
        </is>
      </c>
      <c r="G310" t="inlineStr">
        <is>
          <t>TIDAHOLM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43464-2025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46216</v>
      </c>
      <c r="F311" t="inlineStr">
        <is>
          <t>VÄSTRA GÖTALANDS LÄN</t>
        </is>
      </c>
      <c r="G311" t="inlineStr">
        <is>
          <t>TIDAHOLM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61361-2022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44915</v>
      </c>
      <c r="E312" s="1" t="n">
        <v>46216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61362-2022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44915</v>
      </c>
      <c r="E313" s="1" t="n">
        <v>46216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21285-2025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45779</v>
      </c>
      <c r="E314" s="1" t="n">
        <v>46216</v>
      </c>
      <c r="F314" t="inlineStr">
        <is>
          <t>VÄSTRA GÖTALANDS LÄN</t>
        </is>
      </c>
      <c r="G314" t="inlineStr">
        <is>
          <t>TIDAHOLM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22963-2025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45790</v>
      </c>
      <c r="E315" s="1" t="n">
        <v>46216</v>
      </c>
      <c r="F315" t="inlineStr">
        <is>
          <t>VÄSTRA GÖTALANDS LÄN</t>
        </is>
      </c>
      <c r="G315" t="inlineStr">
        <is>
          <t>TIDAHOLM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60646-2022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44911</v>
      </c>
      <c r="E316" s="1" t="n">
        <v>46216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25665-2026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46216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Kyrkan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10273-2022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44622</v>
      </c>
      <c r="E318" s="1" t="n">
        <v>46216</v>
      </c>
      <c r="F318" t="inlineStr">
        <is>
          <t>VÄSTRA GÖTALANDS LÄN</t>
        </is>
      </c>
      <c r="G318" t="inlineStr">
        <is>
          <t>TIDAHOLM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46216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7648-2023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44972</v>
      </c>
      <c r="E320" s="1" t="n">
        <v>46216</v>
      </c>
      <c r="F320" t="inlineStr">
        <is>
          <t>VÄSTRA GÖTALANDS LÄN</t>
        </is>
      </c>
      <c r="G320" t="inlineStr">
        <is>
          <t>TIDAHOLM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34621-2025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45847</v>
      </c>
      <c r="E321" s="1" t="n">
        <v>46216</v>
      </c>
      <c r="F321" t="inlineStr">
        <is>
          <t>VÄSTRA GÖTALANDS LÄN</t>
        </is>
      </c>
      <c r="G321" t="inlineStr">
        <is>
          <t>TIDAHOLM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30819-2022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44766</v>
      </c>
      <c r="E322" s="1" t="n">
        <v>46216</v>
      </c>
      <c r="F322" t="inlineStr">
        <is>
          <t>VÄSTRA GÖTALANDS LÄN</t>
        </is>
      </c>
      <c r="G322" t="inlineStr">
        <is>
          <t>TIDAHOLM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46216</v>
      </c>
      <c r="F323" t="inlineStr">
        <is>
          <t>VÄSTRA GÖTALANDS LÄN</t>
        </is>
      </c>
      <c r="G323" t="inlineStr">
        <is>
          <t>TIDAHOLM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46216</v>
      </c>
      <c r="F324" t="inlineStr">
        <is>
          <t>VÄSTRA GÖTALANDS LÄN</t>
        </is>
      </c>
      <c r="G324" t="inlineStr">
        <is>
          <t>TIDAHOLM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11696-2024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46216</v>
      </c>
      <c r="F325" t="inlineStr">
        <is>
          <t>VÄSTRA GÖTALANDS LÄN</t>
        </is>
      </c>
      <c r="G325" t="inlineStr">
        <is>
          <t>TIDAHOLM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50294-2022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46216</v>
      </c>
      <c r="F326" t="inlineStr">
        <is>
          <t>VÄSTRA GÖTALANDS LÄN</t>
        </is>
      </c>
      <c r="G326" t="inlineStr">
        <is>
          <t>TIDAHOLM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22455-2023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46216</v>
      </c>
      <c r="F327" t="inlineStr">
        <is>
          <t>VÄSTRA GÖTALANDS LÄN</t>
        </is>
      </c>
      <c r="G327" t="inlineStr">
        <is>
          <t>TIDAHOLM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37179-2023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46216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57965-2022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46216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49300-2021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44454</v>
      </c>
      <c r="E330" s="1" t="n">
        <v>46216</v>
      </c>
      <c r="F330" t="inlineStr">
        <is>
          <t>VÄSTRA GÖTALANDS LÄN</t>
        </is>
      </c>
      <c r="G330" t="inlineStr">
        <is>
          <t>TIDAHOLM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52715-2023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46216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47485-2024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45587</v>
      </c>
      <c r="E332" s="1" t="n">
        <v>46216</v>
      </c>
      <c r="F332" t="inlineStr">
        <is>
          <t>VÄSTRA GÖTALANDS LÄN</t>
        </is>
      </c>
      <c r="G332" t="inlineStr">
        <is>
          <t>TIDAHOLM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13964-2023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45007</v>
      </c>
      <c r="E333" s="1" t="n">
        <v>46216</v>
      </c>
      <c r="F333" t="inlineStr">
        <is>
          <t>VÄSTRA GÖTALANDS LÄN</t>
        </is>
      </c>
      <c r="G333" t="inlineStr">
        <is>
          <t>TIDAHOLM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9949-2023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46216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46216</v>
      </c>
      <c r="F335" t="inlineStr">
        <is>
          <t>VÄSTRA GÖTALANDS LÄN</t>
        </is>
      </c>
      <c r="G335" t="inlineStr">
        <is>
          <t>TIDAHOLM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57934-2022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46216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27860-2026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46191</v>
      </c>
      <c r="E337" s="1" t="n">
        <v>46216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Kyrkan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45485</v>
      </c>
      <c r="E338" s="1" t="n">
        <v>46216</v>
      </c>
      <c r="F338" t="inlineStr">
        <is>
          <t>VÄSTRA GÖTALANDS LÄN</t>
        </is>
      </c>
      <c r="G338" t="inlineStr">
        <is>
          <t>TIDAHOLM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37934-2023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45160</v>
      </c>
      <c r="E339" s="1" t="n">
        <v>46216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22022-2026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46216</v>
      </c>
      <c r="F340" t="inlineStr">
        <is>
          <t>VÄSTRA GÖTALANDS LÄN</t>
        </is>
      </c>
      <c r="G340" t="inlineStr">
        <is>
          <t>TIDAHOLM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46216</v>
      </c>
      <c r="F341" t="inlineStr">
        <is>
          <t>VÄSTRA GÖTALANDS LÄN</t>
        </is>
      </c>
      <c r="G341" t="inlineStr">
        <is>
          <t>TIDAHOLM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46216</v>
      </c>
      <c r="F342" t="inlineStr">
        <is>
          <t>VÄSTRA GÖTALANDS LÄN</t>
        </is>
      </c>
      <c r="G342" t="inlineStr">
        <is>
          <t>TIDAHOLM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7922-2023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46216</v>
      </c>
      <c r="F343" t="inlineStr">
        <is>
          <t>VÄSTRA GÖTALANDS LÄN</t>
        </is>
      </c>
      <c r="G343" t="inlineStr">
        <is>
          <t>TIDAHOLM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7931-2023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44973</v>
      </c>
      <c r="E344" s="1" t="n">
        <v>46216</v>
      </c>
      <c r="F344" t="inlineStr">
        <is>
          <t>VÄSTRA GÖTALANDS LÄN</t>
        </is>
      </c>
      <c r="G344" t="inlineStr">
        <is>
          <t>TIDAHOLM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45744</v>
      </c>
      <c r="E345" s="1" t="n">
        <v>46216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59460-2022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46216</v>
      </c>
      <c r="F346" t="inlineStr">
        <is>
          <t>VÄSTRA GÖTALANDS LÄN</t>
        </is>
      </c>
      <c r="G346" t="inlineStr">
        <is>
          <t>TIDAHOLM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17826-2025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46216</v>
      </c>
      <c r="F347" t="inlineStr">
        <is>
          <t>VÄSTRA GÖTALANDS LÄN</t>
        </is>
      </c>
      <c r="G347" t="inlineStr">
        <is>
          <t>TIDAHOLM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46216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46216</v>
      </c>
      <c r="F349" t="inlineStr">
        <is>
          <t>VÄSTRA GÖTALANDS LÄN</t>
        </is>
      </c>
      <c r="G349" t="inlineStr">
        <is>
          <t>TIDAHOLM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16382-2023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45029</v>
      </c>
      <c r="E350" s="1" t="n">
        <v>46216</v>
      </c>
      <c r="F350" t="inlineStr">
        <is>
          <t>VÄSTRA GÖTALANDS LÄN</t>
        </is>
      </c>
      <c r="G350" t="inlineStr">
        <is>
          <t>TIDAHOLM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26529-2024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46216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26542-2024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46216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60040-2022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46216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61754-2023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46216</v>
      </c>
      <c r="F354" t="inlineStr">
        <is>
          <t>VÄSTRA GÖTALANDS LÄN</t>
        </is>
      </c>
      <c r="G354" t="inlineStr">
        <is>
          <t>TIDAHOLM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11598-2023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46216</v>
      </c>
      <c r="F355" t="inlineStr">
        <is>
          <t>VÄSTRA GÖTALANDS LÄN</t>
        </is>
      </c>
      <c r="G355" t="inlineStr">
        <is>
          <t>TIDAHOLM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7904-2025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45707</v>
      </c>
      <c r="E356" s="1" t="n">
        <v>46216</v>
      </c>
      <c r="F356" t="inlineStr">
        <is>
          <t>VÄSTRA GÖTALANDS LÄN</t>
        </is>
      </c>
      <c r="G356" t="inlineStr">
        <is>
          <t>TIDAHOLM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27717-2025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45814</v>
      </c>
      <c r="E357" s="1" t="n">
        <v>46216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52036-2024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46216</v>
      </c>
      <c r="F358" t="inlineStr">
        <is>
          <t>VÄSTRA GÖTALANDS LÄN</t>
        </is>
      </c>
      <c r="G358" t="inlineStr">
        <is>
          <t>TIDAHOLM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50624-2022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46216</v>
      </c>
      <c r="F359" t="inlineStr">
        <is>
          <t>VÄSTRA GÖTALANDS LÄN</t>
        </is>
      </c>
      <c r="G359" t="inlineStr">
        <is>
          <t>TIDAHOLM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14140-2024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45392</v>
      </c>
      <c r="E360" s="1" t="n">
        <v>46216</v>
      </c>
      <c r="F360" t="inlineStr">
        <is>
          <t>VÄSTRA GÖTALANDS LÄN</t>
        </is>
      </c>
      <c r="G360" t="inlineStr">
        <is>
          <t>TIDAHOLM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23353-2022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44720</v>
      </c>
      <c r="E361" s="1" t="n">
        <v>46216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46216</v>
      </c>
      <c r="F362" t="inlineStr">
        <is>
          <t>VÄSTRA GÖTALANDS LÄN</t>
        </is>
      </c>
      <c r="G362" t="inlineStr">
        <is>
          <t>TIDAHOLM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46216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11437-2022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44630</v>
      </c>
      <c r="E364" s="1" t="n">
        <v>46216</v>
      </c>
      <c r="F364" t="inlineStr">
        <is>
          <t>VÄSTRA GÖTALANDS LÄN</t>
        </is>
      </c>
      <c r="G364" t="inlineStr">
        <is>
          <t>TIDAHOLM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46216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46216</v>
      </c>
      <c r="F366" t="inlineStr">
        <is>
          <t>VÄSTRA GÖTALANDS LÄN</t>
        </is>
      </c>
      <c r="G366" t="inlineStr">
        <is>
          <t>TIDAHOLM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32447-2023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46216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46216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27270-2023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46216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43469-2025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46216</v>
      </c>
      <c r="F370" t="inlineStr">
        <is>
          <t>VÄSTRA GÖTALANDS LÄN</t>
        </is>
      </c>
      <c r="G370" t="inlineStr">
        <is>
          <t>TIDAHOLM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49159-2024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45594</v>
      </c>
      <c r="E371" s="1" t="n">
        <v>46216</v>
      </c>
      <c r="F371" t="inlineStr">
        <is>
          <t>VÄSTRA GÖTALANDS LÄN</t>
        </is>
      </c>
      <c r="G371" t="inlineStr">
        <is>
          <t>TIDAHOLM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57573-2024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45630</v>
      </c>
      <c r="E372" s="1" t="n">
        <v>46216</v>
      </c>
      <c r="F372" t="inlineStr">
        <is>
          <t>VÄSTRA GÖTALANDS LÄN</t>
        </is>
      </c>
      <c r="G372" t="inlineStr">
        <is>
          <t>TIDAHOLM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60252-2023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45258</v>
      </c>
      <c r="E373" s="1" t="n">
        <v>46216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18247-2023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46216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43922-2023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46216</v>
      </c>
      <c r="F375" t="inlineStr">
        <is>
          <t>VÄSTRA GÖTALANDS LÄN</t>
        </is>
      </c>
      <c r="G375" t="inlineStr">
        <is>
          <t>TIDAHOLM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30675-2024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45495</v>
      </c>
      <c r="E376" s="1" t="n">
        <v>46216</v>
      </c>
      <c r="F376" t="inlineStr">
        <is>
          <t>VÄSTRA GÖTALANDS LÄN</t>
        </is>
      </c>
      <c r="G376" t="inlineStr">
        <is>
          <t>TIDAHOLM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30677-2024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45495</v>
      </c>
      <c r="E377" s="1" t="n">
        <v>46216</v>
      </c>
      <c r="F377" t="inlineStr">
        <is>
          <t>VÄSTRA GÖTALANDS LÄN</t>
        </is>
      </c>
      <c r="G377" t="inlineStr">
        <is>
          <t>TIDAHOLM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52876-2023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45226</v>
      </c>
      <c r="E378" s="1" t="n">
        <v>46216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25826-2023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45090</v>
      </c>
      <c r="E379" s="1" t="n">
        <v>46216</v>
      </c>
      <c r="F379" t="inlineStr">
        <is>
          <t>VÄSTRA GÖTALANDS LÄN</t>
        </is>
      </c>
      <c r="G379" t="inlineStr">
        <is>
          <t>TIDAHOLM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44451-2023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46216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Allmännings- och besparingsskogar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61756-2023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46216</v>
      </c>
      <c r="F381" t="inlineStr">
        <is>
          <t>VÄSTRA GÖTALANDS LÄN</t>
        </is>
      </c>
      <c r="G381" t="inlineStr">
        <is>
          <t>TIDAHOLM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61757-2023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46216</v>
      </c>
      <c r="F382" t="inlineStr">
        <is>
          <t>VÄSTRA GÖTALANDS LÄN</t>
        </is>
      </c>
      <c r="G382" t="inlineStr">
        <is>
          <t>TIDAHOLM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69446-2021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44531</v>
      </c>
      <c r="E383" s="1" t="n">
        <v>46216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Kyrkan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16575-2025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45752</v>
      </c>
      <c r="E384" s="1" t="n">
        <v>46216</v>
      </c>
      <c r="F384" t="inlineStr">
        <is>
          <t>VÄSTRA GÖTALANDS LÄN</t>
        </is>
      </c>
      <c r="G384" t="inlineStr">
        <is>
          <t>TIDAHOLM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15953-2022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44664</v>
      </c>
      <c r="E385" s="1" t="n">
        <v>46216</v>
      </c>
      <c r="F385" t="inlineStr">
        <is>
          <t>VÄSTRA GÖTALANDS LÄN</t>
        </is>
      </c>
      <c r="G385" t="inlineStr">
        <is>
          <t>TIDAHOLM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38875-2024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45547</v>
      </c>
      <c r="E386" s="1" t="n">
        <v>46216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45779</v>
      </c>
      <c r="E387" s="1" t="n">
        <v>46216</v>
      </c>
      <c r="F387" t="inlineStr">
        <is>
          <t>VÄSTRA GÖTALANDS LÄN</t>
        </is>
      </c>
      <c r="G387" t="inlineStr">
        <is>
          <t>TIDAHOLM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52042-2024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46216</v>
      </c>
      <c r="F388" t="inlineStr">
        <is>
          <t>VÄSTRA GÖTALANDS LÄN</t>
        </is>
      </c>
      <c r="G388" t="inlineStr">
        <is>
          <t>TIDAHOLM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27369-2024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45473</v>
      </c>
      <c r="E389" s="1" t="n">
        <v>46216</v>
      </c>
      <c r="F389" t="inlineStr">
        <is>
          <t>VÄSTRA GÖTALANDS LÄN</t>
        </is>
      </c>
      <c r="G389" t="inlineStr">
        <is>
          <t>TIDAHOLM</t>
        </is>
      </c>
      <c r="I389" t="n">
        <v>8.800000000000001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35125-2024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45530</v>
      </c>
      <c r="E390" s="1" t="n">
        <v>46216</v>
      </c>
      <c r="F390" t="inlineStr">
        <is>
          <t>VÄSTRA GÖTALANDS LÄN</t>
        </is>
      </c>
      <c r="G390" t="inlineStr">
        <is>
          <t>TIDAHOLM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35361-2024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45531</v>
      </c>
      <c r="E391" s="1" t="n">
        <v>46216</v>
      </c>
      <c r="F391" t="inlineStr">
        <is>
          <t>VÄSTRA GÖTALANDS LÄN</t>
        </is>
      </c>
      <c r="G391" t="inlineStr">
        <is>
          <t>TIDAHOLM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14331-2025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46216</v>
      </c>
      <c r="F392" t="inlineStr">
        <is>
          <t>VÄSTRA GÖTALANDS LÄN</t>
        </is>
      </c>
      <c r="G392" t="inlineStr">
        <is>
          <t>TIDAHOLM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8616-2025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45711</v>
      </c>
      <c r="E393" s="1" t="n">
        <v>46216</v>
      </c>
      <c r="F393" t="inlineStr">
        <is>
          <t>VÄSTRA GÖTALANDS LÄN</t>
        </is>
      </c>
      <c r="G393" t="inlineStr">
        <is>
          <t>TIDAHOLM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33568-2024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45519</v>
      </c>
      <c r="E394" s="1" t="n">
        <v>46216</v>
      </c>
      <c r="F394" t="inlineStr">
        <is>
          <t>VÄSTRA GÖTALANDS LÄN</t>
        </is>
      </c>
      <c r="G394" t="inlineStr">
        <is>
          <t>TIDAHOLM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22857-2025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45790</v>
      </c>
      <c r="E395" s="1" t="n">
        <v>46216</v>
      </c>
      <c r="F395" t="inlineStr">
        <is>
          <t>VÄSTRA GÖTALANDS LÄN</t>
        </is>
      </c>
      <c r="G395" t="inlineStr">
        <is>
          <t>TIDAHOLM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3449-2025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46216</v>
      </c>
      <c r="F396" t="inlineStr">
        <is>
          <t>VÄSTRA GÖTALANDS LÄN</t>
        </is>
      </c>
      <c r="G396" t="inlineStr">
        <is>
          <t>TIDAHOLM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11835-2025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45728</v>
      </c>
      <c r="E397" s="1" t="n">
        <v>46216</v>
      </c>
      <c r="F397" t="inlineStr">
        <is>
          <t>VÄSTRA GÖTALANDS LÄN</t>
        </is>
      </c>
      <c r="G397" t="inlineStr">
        <is>
          <t>TIDAHOLM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415-2021</t>
        </is>
      </c>
      <c r="B398" t="inlineStr">
        <is>
          <t>samrådsanmälan</t>
        </is>
      </c>
      <c r="C398" t="inlineStr">
        <is>
          <t>Åtgärd i nyckelbiotop</t>
        </is>
      </c>
      <c r="D398" s="1" t="n">
        <v>44257</v>
      </c>
      <c r="E398" s="1" t="n">
        <v>46216</v>
      </c>
      <c r="F398" t="inlineStr">
        <is>
          <t>VÄSTRA GÖTALANDS LÄN</t>
        </is>
      </c>
      <c r="G398" t="inlineStr">
        <is>
          <t>TIDAHOLM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986-2022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44607</v>
      </c>
      <c r="E399" s="1" t="n">
        <v>46216</v>
      </c>
      <c r="F399" t="inlineStr">
        <is>
          <t>VÄSTRA GÖTALANDS LÄN</t>
        </is>
      </c>
      <c r="G399" t="inlineStr">
        <is>
          <t>TIDAHOLM</t>
        </is>
      </c>
      <c r="H399" t="inlineStr">
        <is>
          <t>Sveaskog</t>
        </is>
      </c>
      <c r="I399" t="n">
        <v>98.40000000000001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968-2022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44607</v>
      </c>
      <c r="E400" s="1" t="n">
        <v>46216</v>
      </c>
      <c r="F400" t="inlineStr">
        <is>
          <t>VÄSTRA GÖTALANDS LÄN</t>
        </is>
      </c>
      <c r="G400" t="inlineStr">
        <is>
          <t>TIDAHOLM</t>
        </is>
      </c>
      <c r="H400" t="inlineStr">
        <is>
          <t>Sveaskog</t>
        </is>
      </c>
      <c r="I400" t="n">
        <v>87.3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>
      <c r="A401" t="inlineStr">
        <is>
          <t>S 2715-2025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45930</v>
      </c>
      <c r="E401" s="1" t="n">
        <v>46216</v>
      </c>
      <c r="F401" t="inlineStr">
        <is>
          <t>VÄSTRA GÖTALANDS LÄN</t>
        </is>
      </c>
      <c r="G401" t="inlineStr">
        <is>
          <t>TIDAHOLM</t>
        </is>
      </c>
      <c r="H401" t="inlineStr">
        <is>
          <t>Sveaskog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2026-07-13T14:52:48Z</dcterms:created>
  <dcterms:modified xmlns:dcterms="http://purl.org/dc/terms/" xmlns:xsi="http://www.w3.org/2001/XMLSchema-instance" xsi:type="dcterms:W3CDTF">2026-07-13T14:52:49Z</dcterms:modified>
</cp:coreProperties>
</file>