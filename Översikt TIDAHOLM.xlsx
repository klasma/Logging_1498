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46227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46227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46227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46227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46227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46227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46227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46227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46227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46227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4052-2025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46227</v>
      </c>
      <c r="F18" t="inlineStr">
        <is>
          <t>VÄSTRA GÖTALANDS LÄN</t>
        </is>
      </c>
      <c r="G18" t="inlineStr">
        <is>
          <t>TIDAHOLM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HYPERLINK("https://klasma.github.io/Logging_1498/artfynd/A 4052-2025 artfynd.xlsx", "A 4052-2025")</f>
        <v/>
      </c>
      <c r="X18">
        <f>HYPERLINK("https://klasma.github.io/Logging_1498/kartor/A 4052-2025 karta.png", "A 4052-2025")</f>
        <v/>
      </c>
      <c r="Y18">
        <f>HYPERLINK("https://klasma.github.io/Logging_1498/kartor_geotiff/A 4052-2025 georefererad karta.tif", "A 4052-2025")</f>
        <v/>
      </c>
      <c r="AA18">
        <f>HYPERLINK("https://klasma.github.io/Logging_1498/klagomål/A 4052-2025 FSC-klagomål.docx", "A 4052-2025")</f>
        <v/>
      </c>
      <c r="AB18">
        <f>HYPERLINK("https://klasma.github.io/Logging_1498/klagomålsmail/A 4052-2025 FSC-klagomål mail.docx", "A 4052-2025")</f>
        <v/>
      </c>
      <c r="AC18">
        <f>HYPERLINK("https://klasma.github.io/Logging_1498/tillsyn/A 4052-2025 tillsynsbegäran.docx", "A 4052-2025")</f>
        <v/>
      </c>
      <c r="AD18">
        <f>HYPERLINK("https://klasma.github.io/Logging_1498/tillsynsmail/A 4052-2025 tillsynsbegäran mail.docx", "A 4052-2025")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46227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46227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46227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46227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57539-2023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45246</v>
      </c>
      <c r="E23" s="1" t="n">
        <v>46227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HYPERLINK("https://klasma.github.io/Logging_1498/artfynd/A 57539-2023 artfynd.xlsx", "A 57539-2023")</f>
        <v/>
      </c>
      <c r="X23">
        <f>HYPERLINK("https://klasma.github.io/Logging_1498/kartor/A 57539-2023 karta.png", "A 57539-2023")</f>
        <v/>
      </c>
      <c r="Y23">
        <f>HYPERLINK("https://klasma.github.io/Logging_1498/kartor_geotiff/A 57539-2023 georefererad karta.tif", "A 57539-2023")</f>
        <v/>
      </c>
      <c r="AA23">
        <f>HYPERLINK("https://klasma.github.io/Logging_1498/klagomål/A 57539-2023 FSC-klagomål.docx", "A 57539-2023")</f>
        <v/>
      </c>
      <c r="AB23">
        <f>HYPERLINK("https://klasma.github.io/Logging_1498/klagomålsmail/A 57539-2023 FSC-klagomål mail.docx", "A 57539-2023")</f>
        <v/>
      </c>
      <c r="AC23">
        <f>HYPERLINK("https://klasma.github.io/Logging_1498/tillsyn/A 57539-2023 tillsynsbegäran.docx", "A 57539-2023")</f>
        <v/>
      </c>
      <c r="AD23">
        <f>HYPERLINK("https://klasma.github.io/Logging_1498/tillsynsmail/A 57539-2023 tillsynsbegäran mail.docx", "A 57539-2023")</f>
        <v/>
      </c>
    </row>
    <row r="24" ht="15" customHeight="1">
      <c r="A24" t="inlineStr">
        <is>
          <t>A 54133-2023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46227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9.300000000000001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Gammelgransskål</t>
        </is>
      </c>
      <c r="W24">
        <f>HYPERLINK("https://klasma.github.io/Logging_1498/artfynd/A 54133-2023 artfynd.xlsx", "A 54133-2023")</f>
        <v/>
      </c>
      <c r="X24">
        <f>HYPERLINK("https://klasma.github.io/Logging_1498/kartor/A 54133-2023 karta.png", "A 54133-2023")</f>
        <v/>
      </c>
      <c r="Y24">
        <f>HYPERLINK("https://klasma.github.io/Logging_1498/kartor_geotiff/A 54133-2023 georefererad karta.tif", "A 54133-2023")</f>
        <v/>
      </c>
      <c r="AA24">
        <f>HYPERLINK("https://klasma.github.io/Logging_1498/klagomål/A 54133-2023 FSC-klagomål.docx", "A 54133-2023")</f>
        <v/>
      </c>
      <c r="AB24">
        <f>HYPERLINK("https://klasma.github.io/Logging_1498/klagomålsmail/A 54133-2023 FSC-klagomål mail.docx", "A 54133-2023")</f>
        <v/>
      </c>
      <c r="AC24">
        <f>HYPERLINK("https://klasma.github.io/Logging_1498/tillsyn/A 54133-2023 tillsynsbegäran.docx", "A 54133-2023")</f>
        <v/>
      </c>
      <c r="AD24">
        <f>HYPERLINK("https://klasma.github.io/Logging_1498/tillsynsmail/A 54133-2023 tillsynsbegäran mail.docx", "A 54133-2023")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46227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46227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46227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46227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46227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46227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46227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46227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46227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46227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46227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46227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46227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46227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46227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46227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46227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46227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46227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46227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46227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46227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46227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46227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46227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46227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46227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46227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46227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46227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46227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46227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46227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46227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46227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46227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46227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46227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46227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46227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46227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46227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46227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46227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46227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46227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46227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46227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46227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46227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46227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46227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46227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46227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46227</v>
      </c>
      <c r="F80" t="inlineStr">
        <is>
          <t>VÄSTRA GÖTALANDS LÄN</t>
        </is>
      </c>
      <c r="G80" t="inlineStr">
        <is>
          <t>TIDAHOLM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46227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46227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46227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46227</v>
      </c>
      <c r="F84" t="inlineStr">
        <is>
          <t>VÄSTRA GÖTALANDS LÄN</t>
        </is>
      </c>
      <c r="G84" t="inlineStr">
        <is>
          <t>TIDAHOLM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46227</v>
      </c>
      <c r="F85" t="inlineStr">
        <is>
          <t>VÄSTRA GÖTALANDS LÄN</t>
        </is>
      </c>
      <c r="G85" t="inlineStr">
        <is>
          <t>TIDAHOLM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46227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46227</v>
      </c>
      <c r="F87" t="inlineStr">
        <is>
          <t>VÄSTRA GÖTALANDS LÄN</t>
        </is>
      </c>
      <c r="G87" t="inlineStr">
        <is>
          <t>TIDAHOLM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46227</v>
      </c>
      <c r="F88" t="inlineStr">
        <is>
          <t>VÄSTRA GÖTALANDS LÄN</t>
        </is>
      </c>
      <c r="G88" t="inlineStr">
        <is>
          <t>TIDAHOLM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46227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46227</v>
      </c>
      <c r="F90" t="inlineStr">
        <is>
          <t>VÄSTRA GÖTALANDS LÄN</t>
        </is>
      </c>
      <c r="G90" t="inlineStr">
        <is>
          <t>TIDAHOLM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44860</v>
      </c>
      <c r="E91" s="1" t="n">
        <v>46227</v>
      </c>
      <c r="F91" t="inlineStr">
        <is>
          <t>VÄSTRA GÖTALANDS LÄN</t>
        </is>
      </c>
      <c r="G91" t="inlineStr">
        <is>
          <t>TIDAHOLM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1941-2025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45672</v>
      </c>
      <c r="E92" s="1" t="n">
        <v>46227</v>
      </c>
      <c r="F92" t="inlineStr">
        <is>
          <t>VÄSTRA GÖTALANDS LÄN</t>
        </is>
      </c>
      <c r="G92" t="inlineStr">
        <is>
          <t>TIDAHOLM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48035-2023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45204</v>
      </c>
      <c r="E93" s="1" t="n">
        <v>46227</v>
      </c>
      <c r="F93" t="inlineStr">
        <is>
          <t>VÄSTRA GÖTALANDS LÄN</t>
        </is>
      </c>
      <c r="G93" t="inlineStr">
        <is>
          <t>TIDAHOLM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45637</v>
      </c>
      <c r="E94" s="1" t="n">
        <v>46227</v>
      </c>
      <c r="F94" t="inlineStr">
        <is>
          <t>VÄSTRA GÖTALANDS LÄN</t>
        </is>
      </c>
      <c r="G94" t="inlineStr">
        <is>
          <t>TIDAHOLM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46227</v>
      </c>
      <c r="F95" t="inlineStr">
        <is>
          <t>VÄSTRA GÖTALANDS LÄN</t>
        </is>
      </c>
      <c r="G95" t="inlineStr">
        <is>
          <t>TIDAHOLM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46227</v>
      </c>
      <c r="F96" t="inlineStr">
        <is>
          <t>VÄSTRA GÖTALANDS LÄN</t>
        </is>
      </c>
      <c r="G96" t="inlineStr">
        <is>
          <t>TIDAHOLM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45779</v>
      </c>
      <c r="E97" s="1" t="n">
        <v>46227</v>
      </c>
      <c r="F97" t="inlineStr">
        <is>
          <t>VÄSTRA GÖTALANDS LÄN</t>
        </is>
      </c>
      <c r="G97" t="inlineStr">
        <is>
          <t>TIDAHOLM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46227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46227</v>
      </c>
      <c r="F99" t="inlineStr">
        <is>
          <t>VÄSTRA GÖTALANDS LÄN</t>
        </is>
      </c>
      <c r="G99" t="inlineStr">
        <is>
          <t>TIDAHOLM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46227</v>
      </c>
      <c r="F100" t="inlineStr">
        <is>
          <t>VÄSTRA GÖTALANDS LÄN</t>
        </is>
      </c>
      <c r="G100" t="inlineStr">
        <is>
          <t>TIDAHOLM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52042-2024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46227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45473</v>
      </c>
      <c r="E102" s="1" t="n">
        <v>46227</v>
      </c>
      <c r="F102" t="inlineStr">
        <is>
          <t>VÄSTRA GÖTALANDS LÄN</t>
        </is>
      </c>
      <c r="G102" t="inlineStr">
        <is>
          <t>TIDAHOLM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45530</v>
      </c>
      <c r="E103" s="1" t="n">
        <v>46227</v>
      </c>
      <c r="F103" t="inlineStr">
        <is>
          <t>VÄSTRA GÖTALANDS LÄN</t>
        </is>
      </c>
      <c r="G103" t="inlineStr">
        <is>
          <t>TIDAHOLM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44945</v>
      </c>
      <c r="E104" s="1" t="n">
        <v>46227</v>
      </c>
      <c r="F104" t="inlineStr">
        <is>
          <t>VÄSTRA GÖTALANDS LÄN</t>
        </is>
      </c>
      <c r="G104" t="inlineStr">
        <is>
          <t>TIDAHOLM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46227</v>
      </c>
      <c r="F105" t="inlineStr">
        <is>
          <t>VÄSTRA GÖTALANDS LÄN</t>
        </is>
      </c>
      <c r="G105" t="inlineStr">
        <is>
          <t>TIDAHOLM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27525-2024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45474</v>
      </c>
      <c r="E106" s="1" t="n">
        <v>46227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7917-2023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44973</v>
      </c>
      <c r="E107" s="1" t="n">
        <v>46227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45464-2024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46227</v>
      </c>
      <c r="F108" t="inlineStr">
        <is>
          <t>VÄSTRA GÖTALANDS LÄN</t>
        </is>
      </c>
      <c r="G108" t="inlineStr">
        <is>
          <t>TIDAHOLM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45790</v>
      </c>
      <c r="E109" s="1" t="n">
        <v>46227</v>
      </c>
      <c r="F109" t="inlineStr">
        <is>
          <t>VÄSTRA GÖTALANDS LÄN</t>
        </is>
      </c>
      <c r="G109" t="inlineStr">
        <is>
          <t>TIDAHOLM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33568-2024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45519</v>
      </c>
      <c r="E110" s="1" t="n">
        <v>46227</v>
      </c>
      <c r="F110" t="inlineStr">
        <is>
          <t>VÄSTRA GÖTALANDS LÄN</t>
        </is>
      </c>
      <c r="G110" t="inlineStr">
        <is>
          <t>TIDAHOLM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46227</v>
      </c>
      <c r="F111" t="inlineStr">
        <is>
          <t>VÄSTRA GÖTALANDS LÄN</t>
        </is>
      </c>
      <c r="G111" t="inlineStr">
        <is>
          <t>TIDAHOLM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46227</v>
      </c>
      <c r="F112" t="inlineStr">
        <is>
          <t>VÄSTRA GÖTALANDS LÄN</t>
        </is>
      </c>
      <c r="G112" t="inlineStr">
        <is>
          <t>TIDAHOLM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46227</v>
      </c>
      <c r="F113" t="inlineStr">
        <is>
          <t>VÄSTRA GÖTALANDS LÄN</t>
        </is>
      </c>
      <c r="G113" t="inlineStr">
        <is>
          <t>TIDAHOLM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45711</v>
      </c>
      <c r="E114" s="1" t="n">
        <v>46227</v>
      </c>
      <c r="F114" t="inlineStr">
        <is>
          <t>VÄSTRA GÖTALANDS LÄN</t>
        </is>
      </c>
      <c r="G114" t="inlineStr">
        <is>
          <t>TIDAHOLM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46227</v>
      </c>
      <c r="F115" t="inlineStr">
        <is>
          <t>VÄSTRA GÖTALANDS LÄN</t>
        </is>
      </c>
      <c r="G115" t="inlineStr">
        <is>
          <t>TIDAHOLM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45891</v>
      </c>
      <c r="E116" s="1" t="n">
        <v>46227</v>
      </c>
      <c r="F116" t="inlineStr">
        <is>
          <t>VÄSTRA GÖTALANDS LÄN</t>
        </is>
      </c>
      <c r="G116" t="inlineStr">
        <is>
          <t>TIDAHOLM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46227</v>
      </c>
      <c r="F117" t="inlineStr">
        <is>
          <t>VÄSTRA GÖTALANDS LÄN</t>
        </is>
      </c>
      <c r="G117" t="inlineStr">
        <is>
          <t>TIDAHOLM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46227</v>
      </c>
      <c r="F118" t="inlineStr">
        <is>
          <t>VÄSTRA GÖTALANDS LÄN</t>
        </is>
      </c>
      <c r="G118" t="inlineStr">
        <is>
          <t>TIDAHOLM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45485</v>
      </c>
      <c r="E119" s="1" t="n">
        <v>46227</v>
      </c>
      <c r="F119" t="inlineStr">
        <is>
          <t>VÄSTRA GÖTALANDS LÄN</t>
        </is>
      </c>
      <c r="G119" t="inlineStr">
        <is>
          <t>TIDAHOLM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45469</v>
      </c>
      <c r="E120" s="1" t="n">
        <v>46227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46227</v>
      </c>
      <c r="F121" t="inlineStr">
        <is>
          <t>VÄSTRA GÖTALANDS LÄN</t>
        </is>
      </c>
      <c r="G121" t="inlineStr">
        <is>
          <t>TIDAHOLM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46227</v>
      </c>
      <c r="F122" t="inlineStr">
        <is>
          <t>VÄSTRA GÖTALANDS LÄN</t>
        </is>
      </c>
      <c r="G122" t="inlineStr">
        <is>
          <t>TIDAHOLM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28296-2023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46227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46227</v>
      </c>
      <c r="F124" t="inlineStr">
        <is>
          <t>VÄSTRA GÖTALANDS LÄN</t>
        </is>
      </c>
      <c r="G124" t="inlineStr">
        <is>
          <t>TIDAHOLM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60646-2022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44911</v>
      </c>
      <c r="E125" s="1" t="n">
        <v>46227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46227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46227</v>
      </c>
      <c r="F127" t="inlineStr">
        <is>
          <t>VÄSTRA GÖTALANDS LÄN</t>
        </is>
      </c>
      <c r="G127" t="inlineStr">
        <is>
          <t>TIDAHOLM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46227</v>
      </c>
      <c r="F128" t="inlineStr">
        <is>
          <t>VÄSTRA GÖTALANDS LÄN</t>
        </is>
      </c>
      <c r="G128" t="inlineStr">
        <is>
          <t>TIDAHOLM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46227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46227</v>
      </c>
      <c r="F130" t="inlineStr">
        <is>
          <t>VÄSTRA GÖTALANDS LÄN</t>
        </is>
      </c>
      <c r="G130" t="inlineStr">
        <is>
          <t>TIDAHOLM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46227</v>
      </c>
      <c r="F131" t="inlineStr">
        <is>
          <t>VÄSTRA GÖTALANDS LÄN</t>
        </is>
      </c>
      <c r="G131" t="inlineStr">
        <is>
          <t>TIDAHOLM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45967</v>
      </c>
      <c r="E132" s="1" t="n">
        <v>46227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45967</v>
      </c>
      <c r="E133" s="1" t="n">
        <v>46227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54941-2025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45967</v>
      </c>
      <c r="E134" s="1" t="n">
        <v>46227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45967</v>
      </c>
      <c r="E135" s="1" t="n">
        <v>46227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45967</v>
      </c>
      <c r="E136" s="1" t="n">
        <v>46227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46227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45968</v>
      </c>
      <c r="E138" s="1" t="n">
        <v>46227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45967</v>
      </c>
      <c r="E139" s="1" t="n">
        <v>46227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45967</v>
      </c>
      <c r="E140" s="1" t="n">
        <v>46227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44997</v>
      </c>
      <c r="E141" s="1" t="n">
        <v>46227</v>
      </c>
      <c r="F141" t="inlineStr">
        <is>
          <t>VÄSTRA GÖTALANDS LÄN</t>
        </is>
      </c>
      <c r="G141" t="inlineStr">
        <is>
          <t>TIDAHOLM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46227</v>
      </c>
      <c r="F142" t="inlineStr">
        <is>
          <t>VÄSTRA GÖTALANDS LÄN</t>
        </is>
      </c>
      <c r="G142" t="inlineStr">
        <is>
          <t>TIDAHOLM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46227</v>
      </c>
      <c r="F143" t="inlineStr">
        <is>
          <t>VÄSTRA GÖTALANDS LÄN</t>
        </is>
      </c>
      <c r="G143" t="inlineStr">
        <is>
          <t>TIDAHOLM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45556</v>
      </c>
      <c r="E144" s="1" t="n">
        <v>46227</v>
      </c>
      <c r="F144" t="inlineStr">
        <is>
          <t>VÄSTRA GÖTALANDS LÄN</t>
        </is>
      </c>
      <c r="G144" t="inlineStr">
        <is>
          <t>TIDAHOLM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28190-2025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45818</v>
      </c>
      <c r="E145" s="1" t="n">
        <v>46227</v>
      </c>
      <c r="F145" t="inlineStr">
        <is>
          <t>VÄSTRA GÖTALANDS LÄN</t>
        </is>
      </c>
      <c r="G145" t="inlineStr">
        <is>
          <t>TIDAHOLM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45899</v>
      </c>
      <c r="E146" s="1" t="n">
        <v>46227</v>
      </c>
      <c r="F146" t="inlineStr">
        <is>
          <t>VÄSTRA GÖTALANDS LÄN</t>
        </is>
      </c>
      <c r="G146" t="inlineStr">
        <is>
          <t>TIDAHOLM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45007</v>
      </c>
      <c r="E147" s="1" t="n">
        <v>46227</v>
      </c>
      <c r="F147" t="inlineStr">
        <is>
          <t>VÄSTRA GÖTALANDS LÄN</t>
        </is>
      </c>
      <c r="G147" t="inlineStr">
        <is>
          <t>TIDAHOLM</t>
        </is>
      </c>
      <c r="I147" t="n">
        <v>13.8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46227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46227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60207-2022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44910</v>
      </c>
      <c r="E150" s="1" t="n">
        <v>46227</v>
      </c>
      <c r="F150" t="inlineStr">
        <is>
          <t>VÄSTRA GÖTALANDS LÄN</t>
        </is>
      </c>
      <c r="G150" t="inlineStr">
        <is>
          <t>TIDAHOLM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46227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46227</v>
      </c>
      <c r="F152" t="inlineStr">
        <is>
          <t>VÄSTRA GÖTALANDS LÄN</t>
        </is>
      </c>
      <c r="G152" t="inlineStr">
        <is>
          <t>TIDAHOLM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46227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46227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45786</v>
      </c>
      <c r="E155" s="1" t="n">
        <v>46227</v>
      </c>
      <c r="F155" t="inlineStr">
        <is>
          <t>VÄSTRA GÖTALANDS LÄN</t>
        </is>
      </c>
      <c r="G155" t="inlineStr">
        <is>
          <t>TIDAHOLM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45979</v>
      </c>
      <c r="E156" s="1" t="n">
        <v>46227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Kyrkan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46227</v>
      </c>
      <c r="F157" t="inlineStr">
        <is>
          <t>VÄSTRA GÖTALANDS LÄN</t>
        </is>
      </c>
      <c r="G157" t="inlineStr">
        <is>
          <t>TIDAHOLM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46227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46227</v>
      </c>
      <c r="F159" t="inlineStr">
        <is>
          <t>VÄSTRA GÖTALANDS LÄN</t>
        </is>
      </c>
      <c r="G159" t="inlineStr">
        <is>
          <t>TIDAHOLM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46227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Kyrkan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35479-2023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45146</v>
      </c>
      <c r="E161" s="1" t="n">
        <v>46227</v>
      </c>
      <c r="F161" t="inlineStr">
        <is>
          <t>VÄSTRA GÖTALANDS LÄN</t>
        </is>
      </c>
      <c r="G161" t="inlineStr">
        <is>
          <t>TIDAHOLM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46227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46227</v>
      </c>
      <c r="F163" t="inlineStr">
        <is>
          <t>VÄSTRA GÖTALANDS LÄN</t>
        </is>
      </c>
      <c r="G163" t="inlineStr">
        <is>
          <t>TIDAHOLM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46227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44911</v>
      </c>
      <c r="E165" s="1" t="n">
        <v>46227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57780-2025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46227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46227</v>
      </c>
      <c r="F167" t="inlineStr">
        <is>
          <t>VÄSTRA GÖTALANDS LÄN</t>
        </is>
      </c>
      <c r="G167" t="inlineStr">
        <is>
          <t>TIDAHOLM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44973</v>
      </c>
      <c r="E168" s="1" t="n">
        <v>46227</v>
      </c>
      <c r="F168" t="inlineStr">
        <is>
          <t>VÄSTRA GÖTALANDS LÄN</t>
        </is>
      </c>
      <c r="G168" t="inlineStr">
        <is>
          <t>TIDAHOLM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46227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45784</v>
      </c>
      <c r="E170" s="1" t="n">
        <v>46227</v>
      </c>
      <c r="F170" t="inlineStr">
        <is>
          <t>VÄSTRA GÖTALANDS LÄN</t>
        </is>
      </c>
      <c r="G170" t="inlineStr">
        <is>
          <t>TIDAHOLM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46227</v>
      </c>
      <c r="F171" t="inlineStr">
        <is>
          <t>VÄSTRA GÖTALANDS LÄN</t>
        </is>
      </c>
      <c r="G171" t="inlineStr">
        <is>
          <t>TIDAHOLM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46227</v>
      </c>
      <c r="F172" t="inlineStr">
        <is>
          <t>VÄSTRA GÖTALANDS LÄN</t>
        </is>
      </c>
      <c r="G172" t="inlineStr">
        <is>
          <t>TIDAHOLM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46227</v>
      </c>
      <c r="F173" t="inlineStr">
        <is>
          <t>VÄSTRA GÖTALANDS LÄN</t>
        </is>
      </c>
      <c r="G173" t="inlineStr">
        <is>
          <t>TIDAHOLM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46227</v>
      </c>
      <c r="F174" t="inlineStr">
        <is>
          <t>VÄSTRA GÖTALANDS LÄN</t>
        </is>
      </c>
      <c r="G174" t="inlineStr">
        <is>
          <t>TIDAHOLM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46227</v>
      </c>
      <c r="F175" t="inlineStr">
        <is>
          <t>VÄSTRA GÖTALANDS LÄN</t>
        </is>
      </c>
      <c r="G175" t="inlineStr">
        <is>
          <t>TIDAHOLM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46227</v>
      </c>
      <c r="F176" t="inlineStr">
        <is>
          <t>VÄSTRA GÖTALANDS LÄN</t>
        </is>
      </c>
      <c r="G176" t="inlineStr">
        <is>
          <t>TIDAHOLM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46227</v>
      </c>
      <c r="F177" t="inlineStr">
        <is>
          <t>VÄSTRA GÖTALANDS LÄN</t>
        </is>
      </c>
      <c r="G177" t="inlineStr">
        <is>
          <t>TIDAHOLM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46227</v>
      </c>
      <c r="F178" t="inlineStr">
        <is>
          <t>VÄSTRA GÖTALANDS LÄN</t>
        </is>
      </c>
      <c r="G178" t="inlineStr">
        <is>
          <t>TIDAHOLM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45048</v>
      </c>
      <c r="E179" s="1" t="n">
        <v>46227</v>
      </c>
      <c r="F179" t="inlineStr">
        <is>
          <t>VÄSTRA GÖTALANDS LÄN</t>
        </is>
      </c>
      <c r="G179" t="inlineStr">
        <is>
          <t>TIDAHOLM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46227</v>
      </c>
      <c r="F180" t="inlineStr">
        <is>
          <t>VÄSTRA GÖTALANDS LÄN</t>
        </is>
      </c>
      <c r="G180" t="inlineStr">
        <is>
          <t>TIDAHOLM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46227</v>
      </c>
      <c r="F181" t="inlineStr">
        <is>
          <t>VÄSTRA GÖTALANDS LÄN</t>
        </is>
      </c>
      <c r="G181" t="inlineStr">
        <is>
          <t>TIDAHOLM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46227</v>
      </c>
      <c r="F182" t="inlineStr">
        <is>
          <t>VÄSTRA GÖTALANDS LÄN</t>
        </is>
      </c>
      <c r="G182" t="inlineStr">
        <is>
          <t>TIDAHOLM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46227</v>
      </c>
      <c r="F183" t="inlineStr">
        <is>
          <t>VÄSTRA GÖTALANDS LÄN</t>
        </is>
      </c>
      <c r="G183" t="inlineStr">
        <is>
          <t>TIDAHOLM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45669</v>
      </c>
      <c r="E184" s="1" t="n">
        <v>46227</v>
      </c>
      <c r="F184" t="inlineStr">
        <is>
          <t>VÄSTRA GÖTALANDS LÄN</t>
        </is>
      </c>
      <c r="G184" t="inlineStr">
        <is>
          <t>TIDAHOLM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21170-2025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45779</v>
      </c>
      <c r="E185" s="1" t="n">
        <v>46227</v>
      </c>
      <c r="F185" t="inlineStr">
        <is>
          <t>VÄSTRA GÖTALANDS LÄN</t>
        </is>
      </c>
      <c r="G185" t="inlineStr">
        <is>
          <t>TIDAHOLM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14334-2025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45740</v>
      </c>
      <c r="E186" s="1" t="n">
        <v>46227</v>
      </c>
      <c r="F186" t="inlineStr">
        <is>
          <t>VÄSTRA GÖTALANDS LÄN</t>
        </is>
      </c>
      <c r="G186" t="inlineStr">
        <is>
          <t>TIDAHOLM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24792-2024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46227</v>
      </c>
      <c r="F187" t="inlineStr">
        <is>
          <t>VÄSTRA GÖTALANDS LÄN</t>
        </is>
      </c>
      <c r="G187" t="inlineStr">
        <is>
          <t>TIDAHOLM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45684</v>
      </c>
      <c r="E188" s="1" t="n">
        <v>46227</v>
      </c>
      <c r="F188" t="inlineStr">
        <is>
          <t>VÄSTRA GÖTALANDS LÄN</t>
        </is>
      </c>
      <c r="G188" t="inlineStr">
        <is>
          <t>TIDAHOLM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46227</v>
      </c>
      <c r="F189" t="inlineStr">
        <is>
          <t>VÄSTRA GÖTALANDS LÄN</t>
        </is>
      </c>
      <c r="G189" t="inlineStr">
        <is>
          <t>TIDAHOLM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35388-2025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45855</v>
      </c>
      <c r="E190" s="1" t="n">
        <v>46227</v>
      </c>
      <c r="F190" t="inlineStr">
        <is>
          <t>VÄSTRA GÖTALANDS LÄN</t>
        </is>
      </c>
      <c r="G190" t="inlineStr">
        <is>
          <t>TIDAHOLM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45473</v>
      </c>
      <c r="E191" s="1" t="n">
        <v>46227</v>
      </c>
      <c r="F191" t="inlineStr">
        <is>
          <t>VÄSTRA GÖTALANDS LÄN</t>
        </is>
      </c>
      <c r="G191" t="inlineStr">
        <is>
          <t>TIDAHOLM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46227</v>
      </c>
      <c r="F192" t="inlineStr">
        <is>
          <t>VÄSTRA GÖTALANDS LÄN</t>
        </is>
      </c>
      <c r="G192" t="inlineStr">
        <is>
          <t>TIDAHOLM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49865-2024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45596</v>
      </c>
      <c r="E193" s="1" t="n">
        <v>46227</v>
      </c>
      <c r="F193" t="inlineStr">
        <is>
          <t>VÄSTRA GÖTALANDS LÄN</t>
        </is>
      </c>
      <c r="G193" t="inlineStr">
        <is>
          <t>TIDAHOLM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45854</v>
      </c>
      <c r="E194" s="1" t="n">
        <v>46227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45861</v>
      </c>
      <c r="E195" s="1" t="n">
        <v>46227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64394-2023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45280</v>
      </c>
      <c r="E196" s="1" t="n">
        <v>46227</v>
      </c>
      <c r="F196" t="inlineStr">
        <is>
          <t>VÄSTRA GÖTALANDS LÄN</t>
        </is>
      </c>
      <c r="G196" t="inlineStr">
        <is>
          <t>TIDAHOLM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46227</v>
      </c>
      <c r="F197" t="inlineStr">
        <is>
          <t>VÄSTRA GÖTALANDS LÄN</t>
        </is>
      </c>
      <c r="G197" t="inlineStr">
        <is>
          <t>TIDAHOLM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46227</v>
      </c>
      <c r="F198" t="inlineStr">
        <is>
          <t>VÄSTRA GÖTALANDS LÄN</t>
        </is>
      </c>
      <c r="G198" t="inlineStr">
        <is>
          <t>TIDAHOLM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46227</v>
      </c>
      <c r="F199" t="inlineStr">
        <is>
          <t>VÄSTRA GÖTALANDS LÄN</t>
        </is>
      </c>
      <c r="G199" t="inlineStr">
        <is>
          <t>TIDAHOLM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51288-2024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45603</v>
      </c>
      <c r="E200" s="1" t="n">
        <v>46227</v>
      </c>
      <c r="F200" t="inlineStr">
        <is>
          <t>VÄSTRA GÖTALANDS LÄN</t>
        </is>
      </c>
      <c r="G200" t="inlineStr">
        <is>
          <t>TIDAHOLM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46227</v>
      </c>
      <c r="F201" t="inlineStr">
        <is>
          <t>VÄSTRA GÖTALANDS LÄN</t>
        </is>
      </c>
      <c r="G201" t="inlineStr">
        <is>
          <t>TIDAHOLM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46227</v>
      </c>
      <c r="F202" t="inlineStr">
        <is>
          <t>VÄSTRA GÖTALANDS LÄN</t>
        </is>
      </c>
      <c r="G202" t="inlineStr">
        <is>
          <t>TIDAHOLM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14907-2023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45013</v>
      </c>
      <c r="E203" s="1" t="n">
        <v>46227</v>
      </c>
      <c r="F203" t="inlineStr">
        <is>
          <t>VÄSTRA GÖTALANDS LÄN</t>
        </is>
      </c>
      <c r="G203" t="inlineStr">
        <is>
          <t>TIDAHOLM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46227</v>
      </c>
      <c r="F204" t="inlineStr">
        <is>
          <t>VÄSTRA GÖTALANDS LÄN</t>
        </is>
      </c>
      <c r="G204" t="inlineStr">
        <is>
          <t>TIDAHOLM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46227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Kyrkan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60549-2024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46227</v>
      </c>
      <c r="F206" t="inlineStr">
        <is>
          <t>VÄSTRA GÖTALANDS LÄN</t>
        </is>
      </c>
      <c r="G206" t="inlineStr">
        <is>
          <t>TIDAHOLM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46227</v>
      </c>
      <c r="F207" t="inlineStr">
        <is>
          <t>VÄSTRA GÖTALANDS LÄN</t>
        </is>
      </c>
      <c r="G207" t="inlineStr">
        <is>
          <t>TIDAHOLM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44973</v>
      </c>
      <c r="E208" s="1" t="n">
        <v>46227</v>
      </c>
      <c r="F208" t="inlineStr">
        <is>
          <t>VÄSTRA GÖTALANDS LÄN</t>
        </is>
      </c>
      <c r="G208" t="inlineStr">
        <is>
          <t>TIDAHOLM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46227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Allmännings- och besparingsskogar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47401-2025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46227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47370-2025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45930</v>
      </c>
      <c r="E211" s="1" t="n">
        <v>46227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46227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46227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46227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45000</v>
      </c>
      <c r="E215" s="1" t="n">
        <v>46227</v>
      </c>
      <c r="F215" t="inlineStr">
        <is>
          <t>VÄSTRA GÖTALANDS LÄN</t>
        </is>
      </c>
      <c r="G215" t="inlineStr">
        <is>
          <t>TIDAHOLM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45469</v>
      </c>
      <c r="E216" s="1" t="n">
        <v>46227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45414</v>
      </c>
      <c r="E217" s="1" t="n">
        <v>46227</v>
      </c>
      <c r="F217" t="inlineStr">
        <is>
          <t>VÄSTRA GÖTALANDS LÄN</t>
        </is>
      </c>
      <c r="G217" t="inlineStr">
        <is>
          <t>TIDAHOLM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46227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46227</v>
      </c>
      <c r="F219" t="inlineStr">
        <is>
          <t>VÄSTRA GÖTALANDS LÄN</t>
        </is>
      </c>
      <c r="G219" t="inlineStr">
        <is>
          <t>TIDAHOLM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46227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Kommuner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46227</v>
      </c>
      <c r="F221" t="inlineStr">
        <is>
          <t>VÄSTRA GÖTALANDS LÄN</t>
        </is>
      </c>
      <c r="G221" t="inlineStr">
        <is>
          <t>TIDAHOLM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46227</v>
      </c>
      <c r="F222" t="inlineStr">
        <is>
          <t>VÄSTRA GÖTALANDS LÄN</t>
        </is>
      </c>
      <c r="G222" t="inlineStr">
        <is>
          <t>TIDAHOLM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46227</v>
      </c>
      <c r="F223" t="inlineStr">
        <is>
          <t>VÄSTRA GÖTALANDS LÄN</t>
        </is>
      </c>
      <c r="G223" t="inlineStr">
        <is>
          <t>TIDAHOLM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46021</v>
      </c>
      <c r="E224" s="1" t="n">
        <v>46227</v>
      </c>
      <c r="F224" t="inlineStr">
        <is>
          <t>VÄSTRA GÖTALANDS LÄN</t>
        </is>
      </c>
      <c r="G224" t="inlineStr">
        <is>
          <t>TIDAHOLM</t>
        </is>
      </c>
      <c r="I224" t="n">
        <v>8.699999999999999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46227</v>
      </c>
      <c r="F225" t="inlineStr">
        <is>
          <t>VÄSTRA GÖTALANDS LÄN</t>
        </is>
      </c>
      <c r="G225" t="inlineStr">
        <is>
          <t>TIDAHOLM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46227</v>
      </c>
      <c r="F226" t="inlineStr">
        <is>
          <t>VÄSTRA GÖTALANDS LÄN</t>
        </is>
      </c>
      <c r="G226" t="inlineStr">
        <is>
          <t>TIDAHOLM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46227</v>
      </c>
      <c r="F227" t="inlineStr">
        <is>
          <t>VÄSTRA GÖTALANDS LÄN</t>
        </is>
      </c>
      <c r="G227" t="inlineStr">
        <is>
          <t>TIDAHOLM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45534</v>
      </c>
      <c r="E228" s="1" t="n">
        <v>46227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Allmännings- och besparingsskogar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46227</v>
      </c>
      <c r="F229" t="inlineStr">
        <is>
          <t>VÄSTRA GÖTALANDS LÄN</t>
        </is>
      </c>
      <c r="G229" t="inlineStr">
        <is>
          <t>TIDAHOLM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32591-2022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46227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45709</v>
      </c>
      <c r="E231" s="1" t="n">
        <v>46227</v>
      </c>
      <c r="F231" t="inlineStr">
        <is>
          <t>VÄSTRA GÖTALANDS LÄN</t>
        </is>
      </c>
      <c r="G231" t="inlineStr">
        <is>
          <t>TIDAHOLM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44817</v>
      </c>
      <c r="E232" s="1" t="n">
        <v>46227</v>
      </c>
      <c r="F232" t="inlineStr">
        <is>
          <t>VÄSTRA GÖTALANDS LÄN</t>
        </is>
      </c>
      <c r="G232" t="inlineStr">
        <is>
          <t>TIDAHOLM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46227</v>
      </c>
      <c r="F233" t="inlineStr">
        <is>
          <t>VÄSTRA GÖTALANDS LÄN</t>
        </is>
      </c>
      <c r="G233" t="inlineStr">
        <is>
          <t>TIDAHOLM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44580</v>
      </c>
      <c r="E234" s="1" t="n">
        <v>46227</v>
      </c>
      <c r="F234" t="inlineStr">
        <is>
          <t>VÄSTRA GÖTALANDS LÄN</t>
        </is>
      </c>
      <c r="G234" t="inlineStr">
        <is>
          <t>TIDAHOLM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45240</v>
      </c>
      <c r="E235" s="1" t="n">
        <v>46227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46227</v>
      </c>
      <c r="F236" t="inlineStr">
        <is>
          <t>VÄSTRA GÖTALANDS LÄN</t>
        </is>
      </c>
      <c r="G236" t="inlineStr">
        <is>
          <t>TIDAHOLM</t>
        </is>
      </c>
      <c r="I236" t="n">
        <v>23.4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46227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46227</v>
      </c>
      <c r="F238" t="inlineStr">
        <is>
          <t>VÄSTRA GÖTALANDS LÄN</t>
        </is>
      </c>
      <c r="G238" t="inlineStr">
        <is>
          <t>TIDAHOLM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46227</v>
      </c>
      <c r="F239" t="inlineStr">
        <is>
          <t>VÄSTRA GÖTALANDS LÄN</t>
        </is>
      </c>
      <c r="G239" t="inlineStr">
        <is>
          <t>TIDAHOLM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69446-2021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44531</v>
      </c>
      <c r="E240" s="1" t="n">
        <v>46227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74340-2021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44559</v>
      </c>
      <c r="E241" s="1" t="n">
        <v>46227</v>
      </c>
      <c r="F241" t="inlineStr">
        <is>
          <t>VÄSTRA GÖTALANDS LÄN</t>
        </is>
      </c>
      <c r="G241" t="inlineStr">
        <is>
          <t>TIDAHOLM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46227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Kommuner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46227</v>
      </c>
      <c r="F243" t="inlineStr">
        <is>
          <t>VÄSTRA GÖTALANDS LÄN</t>
        </is>
      </c>
      <c r="G243" t="inlineStr">
        <is>
          <t>TIDAHOLM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46227</v>
      </c>
      <c r="F244" t="inlineStr">
        <is>
          <t>VÄSTRA GÖTALANDS LÄN</t>
        </is>
      </c>
      <c r="G244" t="inlineStr">
        <is>
          <t>TIDAHOLM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57962-2022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44900</v>
      </c>
      <c r="E245" s="1" t="n">
        <v>46227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46059</v>
      </c>
      <c r="E246" s="1" t="n">
        <v>46227</v>
      </c>
      <c r="F246" t="inlineStr">
        <is>
          <t>VÄSTRA GÖTALANDS LÄN</t>
        </is>
      </c>
      <c r="G246" t="inlineStr">
        <is>
          <t>TIDAHOLM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16382-2023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45029</v>
      </c>
      <c r="E247" s="1" t="n">
        <v>46227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45167</v>
      </c>
      <c r="E248" s="1" t="n">
        <v>46227</v>
      </c>
      <c r="F248" t="inlineStr">
        <is>
          <t>VÄSTRA GÖTALANDS LÄN</t>
        </is>
      </c>
      <c r="G248" t="inlineStr">
        <is>
          <t>TIDAHOLM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46064</v>
      </c>
      <c r="E249" s="1" t="n">
        <v>46227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49300-2021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44454</v>
      </c>
      <c r="E250" s="1" t="n">
        <v>46227</v>
      </c>
      <c r="F250" t="inlineStr">
        <is>
          <t>VÄSTRA GÖTALANDS LÄN</t>
        </is>
      </c>
      <c r="G250" t="inlineStr">
        <is>
          <t>TIDAHOLM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44903</v>
      </c>
      <c r="E251" s="1" t="n">
        <v>46227</v>
      </c>
      <c r="F251" t="inlineStr">
        <is>
          <t>VÄSTRA GÖTALANDS LÄN</t>
        </is>
      </c>
      <c r="G251" t="inlineStr">
        <is>
          <t>TIDAHOLM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30675-2024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45495</v>
      </c>
      <c r="E252" s="1" t="n">
        <v>46227</v>
      </c>
      <c r="F252" t="inlineStr">
        <is>
          <t>VÄSTRA GÖTALANDS LÄN</t>
        </is>
      </c>
      <c r="G252" t="inlineStr">
        <is>
          <t>TIDAHOLM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30677-2024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45495</v>
      </c>
      <c r="E253" s="1" t="n">
        <v>46227</v>
      </c>
      <c r="F253" t="inlineStr">
        <is>
          <t>VÄSTRA GÖTALANDS LÄN</t>
        </is>
      </c>
      <c r="G253" t="inlineStr">
        <is>
          <t>TIDAHOLM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46227</v>
      </c>
      <c r="F254" t="inlineStr">
        <is>
          <t>VÄSTRA GÖTALANDS LÄN</t>
        </is>
      </c>
      <c r="G254" t="inlineStr">
        <is>
          <t>TIDAHOLM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46227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Kyrkan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46227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Kyrkan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46227</v>
      </c>
      <c r="F257" t="inlineStr">
        <is>
          <t>VÄSTRA GÖTALANDS LÄN</t>
        </is>
      </c>
      <c r="G257" t="inlineStr">
        <is>
          <t>TIDAHOLM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11291-2026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46080</v>
      </c>
      <c r="E258" s="1" t="n">
        <v>46227</v>
      </c>
      <c r="F258" t="inlineStr">
        <is>
          <t>VÄSTRA GÖTALANDS LÄN</t>
        </is>
      </c>
      <c r="G258" t="inlineStr">
        <is>
          <t>TIDAHOLM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11296-2026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46080</v>
      </c>
      <c r="E259" s="1" t="n">
        <v>46227</v>
      </c>
      <c r="F259" t="inlineStr">
        <is>
          <t>VÄSTRA GÖTALANDS LÄN</t>
        </is>
      </c>
      <c r="G259" t="inlineStr">
        <is>
          <t>TIDAHOLM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46227</v>
      </c>
      <c r="F260" t="inlineStr">
        <is>
          <t>VÄSTRA GÖTALANDS LÄN</t>
        </is>
      </c>
      <c r="G260" t="inlineStr">
        <is>
          <t>TIDAHOLM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46227</v>
      </c>
      <c r="F261" t="inlineStr">
        <is>
          <t>VÄSTRA GÖTALANDS LÄN</t>
        </is>
      </c>
      <c r="G261" t="inlineStr">
        <is>
          <t>TIDAHOLM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46227</v>
      </c>
      <c r="F262" t="inlineStr">
        <is>
          <t>VÄSTRA GÖTALANDS LÄN</t>
        </is>
      </c>
      <c r="G262" t="inlineStr">
        <is>
          <t>TIDAHOLM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61362-2022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44915</v>
      </c>
      <c r="E263" s="1" t="n">
        <v>46227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46227</v>
      </c>
      <c r="F264" t="inlineStr">
        <is>
          <t>VÄSTRA GÖTALANDS LÄN</t>
        </is>
      </c>
      <c r="G264" t="inlineStr">
        <is>
          <t>TIDAHOLM</t>
        </is>
      </c>
      <c r="I264" t="n">
        <v>13.7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45266</v>
      </c>
      <c r="E265" s="1" t="n">
        <v>46227</v>
      </c>
      <c r="F265" t="inlineStr">
        <is>
          <t>VÄSTRA GÖTALANDS LÄN</t>
        </is>
      </c>
      <c r="G265" t="inlineStr">
        <is>
          <t>TIDAHOLM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42338-2022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46227</v>
      </c>
      <c r="F266" t="inlineStr">
        <is>
          <t>VÄSTRA GÖTALANDS LÄN</t>
        </is>
      </c>
      <c r="G266" t="inlineStr">
        <is>
          <t>TIDAHOLM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46227</v>
      </c>
      <c r="F267" t="inlineStr">
        <is>
          <t>VÄSTRA GÖTALANDS LÄN</t>
        </is>
      </c>
      <c r="G267" t="inlineStr">
        <is>
          <t>TIDAHOLM</t>
        </is>
      </c>
      <c r="I267" t="n">
        <v>16.2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45006</v>
      </c>
      <c r="E268" s="1" t="n">
        <v>46227</v>
      </c>
      <c r="F268" t="inlineStr">
        <is>
          <t>VÄSTRA GÖTALANDS LÄN</t>
        </is>
      </c>
      <c r="G268" t="inlineStr">
        <is>
          <t>TIDAHOLM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45576</v>
      </c>
      <c r="E269" s="1" t="n">
        <v>46227</v>
      </c>
      <c r="F269" t="inlineStr">
        <is>
          <t>VÄSTRA GÖTALANDS LÄN</t>
        </is>
      </c>
      <c r="G269" t="inlineStr">
        <is>
          <t>TIDAHOLM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46227</v>
      </c>
      <c r="F270" t="inlineStr">
        <is>
          <t>VÄSTRA GÖTALANDS LÄN</t>
        </is>
      </c>
      <c r="G270" t="inlineStr">
        <is>
          <t>TIDAHOLM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46227</v>
      </c>
      <c r="F271" t="inlineStr">
        <is>
          <t>VÄSTRA GÖTALANDS LÄN</t>
        </is>
      </c>
      <c r="G271" t="inlineStr">
        <is>
          <t>TIDAHOLM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11696-2024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45373</v>
      </c>
      <c r="E272" s="1" t="n">
        <v>46227</v>
      </c>
      <c r="F272" t="inlineStr">
        <is>
          <t>VÄSTRA GÖTALANDS LÄN</t>
        </is>
      </c>
      <c r="G272" t="inlineStr">
        <is>
          <t>TIDAHOLM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46227</v>
      </c>
      <c r="F273" t="inlineStr">
        <is>
          <t>VÄSTRA GÖTALANDS LÄN</t>
        </is>
      </c>
      <c r="G273" t="inlineStr">
        <is>
          <t>TIDAHOLM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72683-2021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44546</v>
      </c>
      <c r="E274" s="1" t="n">
        <v>46227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46227</v>
      </c>
      <c r="F275" t="inlineStr">
        <is>
          <t>VÄSTRA GÖTALANDS LÄN</t>
        </is>
      </c>
      <c r="G275" t="inlineStr">
        <is>
          <t>TIDAHOLM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46227</v>
      </c>
      <c r="F276" t="inlineStr">
        <is>
          <t>VÄSTRA GÖTALANDS LÄN</t>
        </is>
      </c>
      <c r="G276" t="inlineStr">
        <is>
          <t>TIDAHOLM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55780-2021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44476</v>
      </c>
      <c r="E277" s="1" t="n">
        <v>46227</v>
      </c>
      <c r="F277" t="inlineStr">
        <is>
          <t>VÄSTRA GÖTALANDS LÄN</t>
        </is>
      </c>
      <c r="G277" t="inlineStr">
        <is>
          <t>TIDAHOLM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17083-2026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46114</v>
      </c>
      <c r="E278" s="1" t="n">
        <v>46227</v>
      </c>
      <c r="F278" t="inlineStr">
        <is>
          <t>VÄSTRA GÖTALANDS LÄN</t>
        </is>
      </c>
      <c r="G278" t="inlineStr">
        <is>
          <t>TIDAHOLM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45120</v>
      </c>
      <c r="E279" s="1" t="n">
        <v>46227</v>
      </c>
      <c r="F279" t="inlineStr">
        <is>
          <t>VÄSTRA GÖTALANDS LÄN</t>
        </is>
      </c>
      <c r="G279" t="inlineStr">
        <is>
          <t>TIDAHOLM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45096</v>
      </c>
      <c r="E280" s="1" t="n">
        <v>46227</v>
      </c>
      <c r="F280" t="inlineStr">
        <is>
          <t>VÄSTRA GÖTALANDS LÄN</t>
        </is>
      </c>
      <c r="G280" t="inlineStr">
        <is>
          <t>TIDAHOLM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22086-2024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45443</v>
      </c>
      <c r="E281" s="1" t="n">
        <v>46227</v>
      </c>
      <c r="F281" t="inlineStr">
        <is>
          <t>VÄSTRA GÖTALANDS LÄN</t>
        </is>
      </c>
      <c r="G281" t="inlineStr">
        <is>
          <t>TIDAHOLM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46123</v>
      </c>
      <c r="E282" s="1" t="n">
        <v>46227</v>
      </c>
      <c r="F282" t="inlineStr">
        <is>
          <t>VÄSTRA GÖTALANDS LÄN</t>
        </is>
      </c>
      <c r="G282" t="inlineStr">
        <is>
          <t>TIDAHOLM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46227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45469</v>
      </c>
      <c r="E284" s="1" t="n">
        <v>46227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46227</v>
      </c>
      <c r="F285" t="inlineStr">
        <is>
          <t>VÄSTRA GÖTALANDS LÄN</t>
        </is>
      </c>
      <c r="G285" t="inlineStr">
        <is>
          <t>TIDAHOLM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45155</v>
      </c>
      <c r="E286" s="1" t="n">
        <v>46227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45047</v>
      </c>
      <c r="E287" s="1" t="n">
        <v>46227</v>
      </c>
      <c r="F287" t="inlineStr">
        <is>
          <t>VÄSTRA GÖTALANDS LÄN</t>
        </is>
      </c>
      <c r="G287" t="inlineStr">
        <is>
          <t>TIDAHOLM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46131</v>
      </c>
      <c r="E288" s="1" t="n">
        <v>46227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46227</v>
      </c>
      <c r="F289" t="inlineStr">
        <is>
          <t>VÄSTRA GÖTALANDS LÄN</t>
        </is>
      </c>
      <c r="G289" t="inlineStr">
        <is>
          <t>TIDAHOLM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45669</v>
      </c>
      <c r="E290" s="1" t="n">
        <v>46227</v>
      </c>
      <c r="F290" t="inlineStr">
        <is>
          <t>VÄSTRA GÖTALANDS LÄN</t>
        </is>
      </c>
      <c r="G290" t="inlineStr">
        <is>
          <t>TIDAHOLM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39297-2022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44817</v>
      </c>
      <c r="E291" s="1" t="n">
        <v>46227</v>
      </c>
      <c r="F291" t="inlineStr">
        <is>
          <t>VÄSTRA GÖTALANDS LÄN</t>
        </is>
      </c>
      <c r="G291" t="inlineStr">
        <is>
          <t>TIDAHOLM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45630</v>
      </c>
      <c r="E292" s="1" t="n">
        <v>46227</v>
      </c>
      <c r="F292" t="inlineStr">
        <is>
          <t>VÄSTRA GÖTALANDS LÄN</t>
        </is>
      </c>
      <c r="G292" t="inlineStr">
        <is>
          <t>TIDAHOLM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37077-2025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45875</v>
      </c>
      <c r="E293" s="1" t="n">
        <v>46227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10273-2022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44622</v>
      </c>
      <c r="E294" s="1" t="n">
        <v>46227</v>
      </c>
      <c r="F294" t="inlineStr">
        <is>
          <t>VÄSTRA GÖTALANDS LÄN</t>
        </is>
      </c>
      <c r="G294" t="inlineStr">
        <is>
          <t>TIDAHOLM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45721</v>
      </c>
      <c r="E295" s="1" t="n">
        <v>46227</v>
      </c>
      <c r="F295" t="inlineStr">
        <is>
          <t>VÄSTRA GÖTALANDS LÄN</t>
        </is>
      </c>
      <c r="G295" t="inlineStr">
        <is>
          <t>TIDAHOLM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45267</v>
      </c>
      <c r="E296" s="1" t="n">
        <v>46227</v>
      </c>
      <c r="F296" t="inlineStr">
        <is>
          <t>VÄSTRA GÖTALANDS LÄN</t>
        </is>
      </c>
      <c r="G296" t="inlineStr">
        <is>
          <t>TIDAHOLM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45030</v>
      </c>
      <c r="E297" s="1" t="n">
        <v>46227</v>
      </c>
      <c r="F297" t="inlineStr">
        <is>
          <t>VÄSTRA GÖTALANDS LÄN</t>
        </is>
      </c>
      <c r="G297" t="inlineStr">
        <is>
          <t>TIDAHOLM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46227</v>
      </c>
      <c r="F298" t="inlineStr">
        <is>
          <t>VÄSTRA GÖTALANDS LÄN</t>
        </is>
      </c>
      <c r="G298" t="inlineStr">
        <is>
          <t>TIDAHOLM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45594</v>
      </c>
      <c r="E299" s="1" t="n">
        <v>46227</v>
      </c>
      <c r="F299" t="inlineStr">
        <is>
          <t>VÄSTRA GÖTALANDS LÄN</t>
        </is>
      </c>
      <c r="G299" t="inlineStr">
        <is>
          <t>TIDAHOLM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45847</v>
      </c>
      <c r="E300" s="1" t="n">
        <v>46227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45919</v>
      </c>
      <c r="E301" s="1" t="n">
        <v>46227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46227</v>
      </c>
      <c r="F302" t="inlineStr">
        <is>
          <t>VÄSTRA GÖTALANDS LÄN</t>
        </is>
      </c>
      <c r="G302" t="inlineStr">
        <is>
          <t>TIDAHOLM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45205</v>
      </c>
      <c r="E303" s="1" t="n">
        <v>46227</v>
      </c>
      <c r="F303" t="inlineStr">
        <is>
          <t>VÄSTRA GÖTALANDS LÄN</t>
        </is>
      </c>
      <c r="G303" t="inlineStr">
        <is>
          <t>TIDAHOLM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46227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Kyrkan</t>
        </is>
      </c>
      <c r="I304" t="n">
        <v>22.5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44610</v>
      </c>
      <c r="E305" s="1" t="n">
        <v>46227</v>
      </c>
      <c r="F305" t="inlineStr">
        <is>
          <t>VÄSTRA GÖTALANDS LÄN</t>
        </is>
      </c>
      <c r="G305" t="inlineStr">
        <is>
          <t>TIDAHOLM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46227</v>
      </c>
      <c r="F306" t="inlineStr">
        <is>
          <t>VÄSTRA GÖTALANDS LÄN</t>
        </is>
      </c>
      <c r="G306" t="inlineStr">
        <is>
          <t>TIDAHOLM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46227</v>
      </c>
      <c r="F307" t="inlineStr">
        <is>
          <t>VÄSTRA GÖTALANDS LÄN</t>
        </is>
      </c>
      <c r="G307" t="inlineStr">
        <is>
          <t>TIDAHOLM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45526</v>
      </c>
      <c r="E308" s="1" t="n">
        <v>46227</v>
      </c>
      <c r="F308" t="inlineStr">
        <is>
          <t>VÄSTRA GÖTALANDS LÄN</t>
        </is>
      </c>
      <c r="G308" t="inlineStr">
        <is>
          <t>TIDAHOLM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45784</v>
      </c>
      <c r="E309" s="1" t="n">
        <v>46227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45790</v>
      </c>
      <c r="E310" s="1" t="n">
        <v>46227</v>
      </c>
      <c r="F310" t="inlineStr">
        <is>
          <t>VÄSTRA GÖTALANDS LÄN</t>
        </is>
      </c>
      <c r="G310" t="inlineStr">
        <is>
          <t>TIDAHOLM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25826-2023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45090</v>
      </c>
      <c r="E311" s="1" t="n">
        <v>46227</v>
      </c>
      <c r="F311" t="inlineStr">
        <is>
          <t>VÄSTRA GÖTALANDS LÄN</t>
        </is>
      </c>
      <c r="G311" t="inlineStr">
        <is>
          <t>TIDAHOLM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59140-2024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45637</v>
      </c>
      <c r="E312" s="1" t="n">
        <v>46227</v>
      </c>
      <c r="F312" t="inlineStr">
        <is>
          <t>VÄSTRA GÖTALANDS LÄN</t>
        </is>
      </c>
      <c r="G312" t="inlineStr">
        <is>
          <t>TIDAHOLM</t>
        </is>
      </c>
      <c r="I312" t="n">
        <v>9.5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46227</v>
      </c>
      <c r="F313" t="inlineStr">
        <is>
          <t>VÄSTRA GÖTALANDS LÄN</t>
        </is>
      </c>
      <c r="G313" t="inlineStr">
        <is>
          <t>TIDAHOLM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46227</v>
      </c>
      <c r="F314" t="inlineStr">
        <is>
          <t>VÄSTRA GÖTALANDS LÄN</t>
        </is>
      </c>
      <c r="G314" t="inlineStr">
        <is>
          <t>TIDAHOLM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21285-2025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45779</v>
      </c>
      <c r="E315" s="1" t="n">
        <v>46227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46227</v>
      </c>
      <c r="F316" t="inlineStr">
        <is>
          <t>VÄSTRA GÖTALANDS LÄN</t>
        </is>
      </c>
      <c r="G316" t="inlineStr">
        <is>
          <t>TIDAHOLM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19572-2022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44693</v>
      </c>
      <c r="E317" s="1" t="n">
        <v>46227</v>
      </c>
      <c r="F317" t="inlineStr">
        <is>
          <t>VÄSTRA GÖTALANDS LÄN</t>
        </is>
      </c>
      <c r="G317" t="inlineStr">
        <is>
          <t>TIDAHOLM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44636</v>
      </c>
      <c r="E318" s="1" t="n">
        <v>46227</v>
      </c>
      <c r="F318" t="inlineStr">
        <is>
          <t>VÄSTRA GÖTALANDS LÄN</t>
        </is>
      </c>
      <c r="G318" t="inlineStr">
        <is>
          <t>TIDAHOLM</t>
        </is>
      </c>
      <c r="I318" t="n">
        <v>18.8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46227</v>
      </c>
      <c r="F319" t="inlineStr">
        <is>
          <t>VÄSTRA GÖTALANDS LÄN</t>
        </is>
      </c>
      <c r="G319" t="inlineStr">
        <is>
          <t>TIDAHOLM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45358</v>
      </c>
      <c r="E320" s="1" t="n">
        <v>46227</v>
      </c>
      <c r="F320" t="inlineStr">
        <is>
          <t>VÄSTRA GÖTALANDS LÄN</t>
        </is>
      </c>
      <c r="G320" t="inlineStr">
        <is>
          <t>TIDAHOLM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46227</v>
      </c>
      <c r="F321" t="inlineStr">
        <is>
          <t>VÄSTRA GÖTALANDS LÄN</t>
        </is>
      </c>
      <c r="G321" t="inlineStr">
        <is>
          <t>TIDAHOLM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46227</v>
      </c>
      <c r="F322" t="inlineStr">
        <is>
          <t>VÄSTRA GÖTALANDS LÄN</t>
        </is>
      </c>
      <c r="G322" t="inlineStr">
        <is>
          <t>TIDAHOLM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23283-2022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44720</v>
      </c>
      <c r="E323" s="1" t="n">
        <v>46227</v>
      </c>
      <c r="F323" t="inlineStr">
        <is>
          <t>VÄSTRA GÖTALANDS LÄN</t>
        </is>
      </c>
      <c r="G323" t="inlineStr">
        <is>
          <t>TIDAHOLM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18249-2022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44685</v>
      </c>
      <c r="E324" s="1" t="n">
        <v>46227</v>
      </c>
      <c r="F324" t="inlineStr">
        <is>
          <t>VÄSTRA GÖTALANDS LÄN</t>
        </is>
      </c>
      <c r="G324" t="inlineStr">
        <is>
          <t>TIDAHOLM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45752</v>
      </c>
      <c r="E325" s="1" t="n">
        <v>46227</v>
      </c>
      <c r="F325" t="inlineStr">
        <is>
          <t>VÄSTRA GÖTALANDS LÄN</t>
        </is>
      </c>
      <c r="G325" t="inlineStr">
        <is>
          <t>TIDAHOLM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44720</v>
      </c>
      <c r="E326" s="1" t="n">
        <v>46227</v>
      </c>
      <c r="F326" t="inlineStr">
        <is>
          <t>VÄSTRA GÖTALANDS LÄN</t>
        </is>
      </c>
      <c r="G326" t="inlineStr">
        <is>
          <t>TIDAHOLM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46227</v>
      </c>
      <c r="F327" t="inlineStr">
        <is>
          <t>VÄSTRA GÖTALANDS LÄN</t>
        </is>
      </c>
      <c r="G327" t="inlineStr">
        <is>
          <t>TIDAHOLM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46227</v>
      </c>
      <c r="F328" t="inlineStr">
        <is>
          <t>VÄSTRA GÖTALANDS LÄN</t>
        </is>
      </c>
      <c r="G328" t="inlineStr">
        <is>
          <t>TIDAHOLM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45265</v>
      </c>
      <c r="E329" s="1" t="n">
        <v>46227</v>
      </c>
      <c r="F329" t="inlineStr">
        <is>
          <t>VÄSTRA GÖTALANDS LÄN</t>
        </is>
      </c>
      <c r="G329" t="inlineStr">
        <is>
          <t>TIDAHOLM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45314</v>
      </c>
      <c r="E330" s="1" t="n">
        <v>46227</v>
      </c>
      <c r="F330" t="inlineStr">
        <is>
          <t>VÄSTRA GÖTALANDS LÄN</t>
        </is>
      </c>
      <c r="G330" t="inlineStr">
        <is>
          <t>TIDAHOLM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7766-2023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44973</v>
      </c>
      <c r="E331" s="1" t="n">
        <v>46227</v>
      </c>
      <c r="F331" t="inlineStr">
        <is>
          <t>VÄSTRA GÖTALANDS LÄN</t>
        </is>
      </c>
      <c r="G331" t="inlineStr">
        <is>
          <t>TIDAHOLM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46227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Kyrkan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45336</v>
      </c>
      <c r="E333" s="1" t="n">
        <v>46227</v>
      </c>
      <c r="F333" t="inlineStr">
        <is>
          <t>VÄSTRA GÖTALANDS LÄN</t>
        </is>
      </c>
      <c r="G333" t="inlineStr">
        <is>
          <t>TIDAHOLM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46227</v>
      </c>
      <c r="F334" t="inlineStr">
        <is>
          <t>VÄSTRA GÖTALANDS LÄN</t>
        </is>
      </c>
      <c r="G334" t="inlineStr">
        <is>
          <t>TIDAHOLM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37070-2022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44806</v>
      </c>
      <c r="E335" s="1" t="n">
        <v>46227</v>
      </c>
      <c r="F335" t="inlineStr">
        <is>
          <t>VÄSTRA GÖTALANDS LÄN</t>
        </is>
      </c>
      <c r="G335" t="inlineStr">
        <is>
          <t>TIDAHOLM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45311</v>
      </c>
      <c r="E336" s="1" t="n">
        <v>46227</v>
      </c>
      <c r="F336" t="inlineStr">
        <is>
          <t>VÄSTRA GÖTALANDS LÄN</t>
        </is>
      </c>
      <c r="G336" t="inlineStr">
        <is>
          <t>TIDAHOLM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46227</v>
      </c>
      <c r="F337" t="inlineStr">
        <is>
          <t>VÄSTRA GÖTALANDS LÄN</t>
        </is>
      </c>
      <c r="G337" t="inlineStr">
        <is>
          <t>TIDAHOLM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46227</v>
      </c>
      <c r="F338" t="inlineStr">
        <is>
          <t>VÄSTRA GÖTALANDS LÄN</t>
        </is>
      </c>
      <c r="G338" t="inlineStr">
        <is>
          <t>TIDAHOLM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64874-2023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45282</v>
      </c>
      <c r="E339" s="1" t="n">
        <v>46227</v>
      </c>
      <c r="F339" t="inlineStr">
        <is>
          <t>VÄSTRA GÖTALANDS LÄN</t>
        </is>
      </c>
      <c r="G339" t="inlineStr">
        <is>
          <t>TIDAHOLM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45160</v>
      </c>
      <c r="E340" s="1" t="n">
        <v>46227</v>
      </c>
      <c r="F340" t="inlineStr">
        <is>
          <t>VÄSTRA GÖTALANDS LÄN</t>
        </is>
      </c>
      <c r="G340" t="inlineStr">
        <is>
          <t>TIDAHOLM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9949-2023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44985</v>
      </c>
      <c r="E341" s="1" t="n">
        <v>46227</v>
      </c>
      <c r="F341" t="inlineStr">
        <is>
          <t>VÄSTRA GÖTALANDS LÄN</t>
        </is>
      </c>
      <c r="G341" t="inlineStr">
        <is>
          <t>TIDAHOLM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44907</v>
      </c>
      <c r="E342" s="1" t="n">
        <v>46227</v>
      </c>
      <c r="F342" t="inlineStr">
        <is>
          <t>VÄSTRA GÖTALANDS LÄN</t>
        </is>
      </c>
      <c r="G342" t="inlineStr">
        <is>
          <t>TIDAHOLM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45392</v>
      </c>
      <c r="E343" s="1" t="n">
        <v>46227</v>
      </c>
      <c r="F343" t="inlineStr">
        <is>
          <t>VÄSTRA GÖTALANDS LÄN</t>
        </is>
      </c>
      <c r="G343" t="inlineStr">
        <is>
          <t>TIDAHOLM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57969-2022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44900</v>
      </c>
      <c r="E344" s="1" t="n">
        <v>46227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46227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Sveaskog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45814</v>
      </c>
      <c r="E346" s="1" t="n">
        <v>46227</v>
      </c>
      <c r="F346" t="inlineStr">
        <is>
          <t>VÄSTRA GÖTALANDS LÄN</t>
        </is>
      </c>
      <c r="G346" t="inlineStr">
        <is>
          <t>TIDAHOLM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73728-2021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44552</v>
      </c>
      <c r="E347" s="1" t="n">
        <v>46227</v>
      </c>
      <c r="F347" t="inlineStr">
        <is>
          <t>VÄSTRA GÖTALANDS LÄN</t>
        </is>
      </c>
      <c r="G347" t="inlineStr">
        <is>
          <t>TIDAHOLM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61587-2021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44501</v>
      </c>
      <c r="E348" s="1" t="n">
        <v>46227</v>
      </c>
      <c r="F348" t="inlineStr">
        <is>
          <t>VÄSTRA GÖTALANDS LÄN</t>
        </is>
      </c>
      <c r="G348" t="inlineStr">
        <is>
          <t>TIDAHOLM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46227</v>
      </c>
      <c r="F349" t="inlineStr">
        <is>
          <t>VÄSTRA GÖTALANDS LÄN</t>
        </is>
      </c>
      <c r="G349" t="inlineStr">
        <is>
          <t>TIDAHOLM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45665</v>
      </c>
      <c r="E350" s="1" t="n">
        <v>46227</v>
      </c>
      <c r="F350" t="inlineStr">
        <is>
          <t>VÄSTRA GÖTALANDS LÄN</t>
        </is>
      </c>
      <c r="G350" t="inlineStr">
        <is>
          <t>TIDAHOLM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45016</v>
      </c>
      <c r="E351" s="1" t="n">
        <v>46227</v>
      </c>
      <c r="F351" t="inlineStr">
        <is>
          <t>VÄSTRA GÖTALANDS LÄN</t>
        </is>
      </c>
      <c r="G351" t="inlineStr">
        <is>
          <t>TIDAHOLM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46227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Kyrkan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23044-2022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44719</v>
      </c>
      <c r="E353" s="1" t="n">
        <v>46227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45258</v>
      </c>
      <c r="E354" s="1" t="n">
        <v>46227</v>
      </c>
      <c r="F354" t="inlineStr">
        <is>
          <t>VÄSTRA GÖTALANDS LÄN</t>
        </is>
      </c>
      <c r="G354" t="inlineStr">
        <is>
          <t>TIDAHOLM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44915</v>
      </c>
      <c r="E355" s="1" t="n">
        <v>46227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Sveaskog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46227</v>
      </c>
      <c r="F356" t="inlineStr">
        <is>
          <t>VÄSTRA GÖTALANDS LÄN</t>
        </is>
      </c>
      <c r="G356" t="inlineStr">
        <is>
          <t>TIDAHOLM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45462</v>
      </c>
      <c r="E357" s="1" t="n">
        <v>46227</v>
      </c>
      <c r="F357" t="inlineStr">
        <is>
          <t>VÄSTRA GÖTALANDS LÄN</t>
        </is>
      </c>
      <c r="G357" t="inlineStr">
        <is>
          <t>TIDAHOLM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49050-2021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44453</v>
      </c>
      <c r="E358" s="1" t="n">
        <v>46227</v>
      </c>
      <c r="F358" t="inlineStr">
        <is>
          <t>VÄSTRA GÖTALANDS LÄN</t>
        </is>
      </c>
      <c r="G358" t="inlineStr">
        <is>
          <t>TIDAHOLM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44902</v>
      </c>
      <c r="E359" s="1" t="n">
        <v>46227</v>
      </c>
      <c r="F359" t="inlineStr">
        <is>
          <t>VÄSTRA GÖTALANDS LÄN</t>
        </is>
      </c>
      <c r="G359" t="inlineStr">
        <is>
          <t>TIDAHOLM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45068</v>
      </c>
      <c r="E360" s="1" t="n">
        <v>46227</v>
      </c>
      <c r="F360" t="inlineStr">
        <is>
          <t>VÄSTRA GÖTALANDS LÄN</t>
        </is>
      </c>
      <c r="G360" t="inlineStr">
        <is>
          <t>TIDAHOLM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45425</v>
      </c>
      <c r="E361" s="1" t="n">
        <v>46227</v>
      </c>
      <c r="F361" t="inlineStr">
        <is>
          <t>VÄSTRA GÖTALANDS LÄN</t>
        </is>
      </c>
      <c r="G361" t="inlineStr">
        <is>
          <t>TIDAHOLM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45628</v>
      </c>
      <c r="E362" s="1" t="n">
        <v>46227</v>
      </c>
      <c r="F362" t="inlineStr">
        <is>
          <t>VÄSTRA GÖTALANDS LÄN</t>
        </is>
      </c>
      <c r="G362" t="inlineStr">
        <is>
          <t>TIDAHOLM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57934-2022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46227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Sveaskog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44038-2024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45572</v>
      </c>
      <c r="E364" s="1" t="n">
        <v>46227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46227</v>
      </c>
      <c r="F365" t="inlineStr">
        <is>
          <t>VÄSTRA GÖTALANDS LÄN</t>
        </is>
      </c>
      <c r="G365" t="inlineStr">
        <is>
          <t>TIDAHOLM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32447-2023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46227</v>
      </c>
      <c r="F366" t="inlineStr">
        <is>
          <t>VÄSTRA GÖTALANDS LÄN</t>
        </is>
      </c>
      <c r="G366" t="inlineStr">
        <is>
          <t>TIDAHOLM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45530</v>
      </c>
      <c r="E367" s="1" t="n">
        <v>46227</v>
      </c>
      <c r="F367" t="inlineStr">
        <is>
          <t>VÄSTRA GÖTALANDS LÄN</t>
        </is>
      </c>
      <c r="G367" t="inlineStr">
        <is>
          <t>TIDAHOLM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25260-2026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46227</v>
      </c>
      <c r="F368" t="inlineStr">
        <is>
          <t>VÄSTRA GÖTALANDS LÄN</t>
        </is>
      </c>
      <c r="G368" t="inlineStr">
        <is>
          <t>TIDAHOLM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46227</v>
      </c>
      <c r="F369" t="inlineStr">
        <is>
          <t>VÄSTRA GÖTALANDS LÄN</t>
        </is>
      </c>
      <c r="G369" t="inlineStr">
        <is>
          <t>TIDAHOLM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44451-2023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46227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Allmännings- och besparingsskogar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26525-2024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45469</v>
      </c>
      <c r="E371" s="1" t="n">
        <v>46227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32670-2023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45121</v>
      </c>
      <c r="E372" s="1" t="n">
        <v>46227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Kommuner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44456-2023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45183</v>
      </c>
      <c r="E373" s="1" t="n">
        <v>46227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Allmännings- och besparingsskogar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45469</v>
      </c>
      <c r="E374" s="1" t="n">
        <v>46227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45225</v>
      </c>
      <c r="E375" s="1" t="n">
        <v>46227</v>
      </c>
      <c r="F375" t="inlineStr">
        <is>
          <t>VÄSTRA GÖTALANDS LÄN</t>
        </is>
      </c>
      <c r="G375" t="inlineStr">
        <is>
          <t>TIDAHOLM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44766</v>
      </c>
      <c r="E376" s="1" t="n">
        <v>46227</v>
      </c>
      <c r="F376" t="inlineStr">
        <is>
          <t>VÄSTRA GÖTALANDS LÄN</t>
        </is>
      </c>
      <c r="G376" t="inlineStr">
        <is>
          <t>TIDAHOLM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26538-2024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45469</v>
      </c>
      <c r="E377" s="1" t="n">
        <v>46227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45404</v>
      </c>
      <c r="E378" s="1" t="n">
        <v>46227</v>
      </c>
      <c r="F378" t="inlineStr">
        <is>
          <t>VÄSTRA GÖTALANDS LÄN</t>
        </is>
      </c>
      <c r="G378" t="inlineStr">
        <is>
          <t>TIDAHOLM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46227</v>
      </c>
      <c r="F379" t="inlineStr">
        <is>
          <t>VÄSTRA GÖTALANDS LÄN</t>
        </is>
      </c>
      <c r="G379" t="inlineStr">
        <is>
          <t>TIDAHOLM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46227</v>
      </c>
      <c r="F380" t="inlineStr">
        <is>
          <t>VÄSTRA GÖTALANDS LÄN</t>
        </is>
      </c>
      <c r="G380" t="inlineStr">
        <is>
          <t>TIDAHOLM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46227</v>
      </c>
      <c r="F381" t="inlineStr">
        <is>
          <t>VÄSTRA GÖTALANDS LÄN</t>
        </is>
      </c>
      <c r="G381" t="inlineStr">
        <is>
          <t>TIDAHOLM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46227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Kyrkan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45103</v>
      </c>
      <c r="E383" s="1" t="n">
        <v>46227</v>
      </c>
      <c r="F383" t="inlineStr">
        <is>
          <t>VÄSTRA GÖTALANDS LÄN</t>
        </is>
      </c>
      <c r="G383" t="inlineStr">
        <is>
          <t>TIDAHOLM</t>
        </is>
      </c>
      <c r="H383" t="inlineStr">
        <is>
          <t>Kyrkan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37299-2023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45156</v>
      </c>
      <c r="E384" s="1" t="n">
        <v>46227</v>
      </c>
      <c r="F384" t="inlineStr">
        <is>
          <t>VÄSTRA GÖTALANDS LÄN</t>
        </is>
      </c>
      <c r="G384" t="inlineStr">
        <is>
          <t>TIDAHOLM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28984-2024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45481</v>
      </c>
      <c r="E385" s="1" t="n">
        <v>46227</v>
      </c>
      <c r="F385" t="inlineStr">
        <is>
          <t>VÄSTRA GÖTALANDS LÄN</t>
        </is>
      </c>
      <c r="G385" t="inlineStr">
        <is>
          <t>TIDAHOLM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29177-2023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45105</v>
      </c>
      <c r="E386" s="1" t="n">
        <v>46227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44900</v>
      </c>
      <c r="E387" s="1" t="n">
        <v>46227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7648-2023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44972</v>
      </c>
      <c r="E388" s="1" t="n">
        <v>46227</v>
      </c>
      <c r="F388" t="inlineStr">
        <is>
          <t>VÄSTRA GÖTALANDS LÄN</t>
        </is>
      </c>
      <c r="G388" t="inlineStr">
        <is>
          <t>TIDAHOLM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45468-2024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45576</v>
      </c>
      <c r="E389" s="1" t="n">
        <v>46227</v>
      </c>
      <c r="F389" t="inlineStr">
        <is>
          <t>VÄSTRA GÖTALANDS LÄN</t>
        </is>
      </c>
      <c r="G389" t="inlineStr">
        <is>
          <t>TIDAHOLM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45580</v>
      </c>
      <c r="E390" s="1" t="n">
        <v>46227</v>
      </c>
      <c r="F390" t="inlineStr">
        <is>
          <t>VÄSTRA GÖTALANDS LÄN</t>
        </is>
      </c>
      <c r="G390" t="inlineStr">
        <is>
          <t>TIDAHOLM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18247-2023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45041</v>
      </c>
      <c r="E391" s="1" t="n">
        <v>46227</v>
      </c>
      <c r="F391" t="inlineStr">
        <is>
          <t>VÄSTRA GÖTALANDS LÄN</t>
        </is>
      </c>
      <c r="G391" t="inlineStr">
        <is>
          <t>TIDAHOLM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9231-2024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45358</v>
      </c>
      <c r="E392" s="1" t="n">
        <v>46227</v>
      </c>
      <c r="F392" t="inlineStr">
        <is>
          <t>VÄSTRA GÖTALANDS LÄN</t>
        </is>
      </c>
      <c r="G392" t="inlineStr">
        <is>
          <t>TIDAHOLM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46227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46227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46227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46227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2026-07-24T01:46:20Z</dcterms:created>
  <dcterms:modified xmlns:dcterms="http://purl.org/dc/terms/" xmlns:xsi="http://www.w3.org/2001/XMLSchema-instance" xsi:type="dcterms:W3CDTF">2026-07-24T01:46:20Z</dcterms:modified>
</cp:coreProperties>
</file>