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46263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A 46261-2021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44442</v>
      </c>
      <c r="E8" s="1" t="n">
        <v>46263</v>
      </c>
      <c r="F8" t="inlineStr">
        <is>
          <t>VÄSTRA GÖTALANDS LÄN</t>
        </is>
      </c>
      <c r="G8" t="inlineStr">
        <is>
          <t>TIDAHOLM</t>
        </is>
      </c>
      <c r="H8" t="inlineStr">
        <is>
          <t>Sveaskog</t>
        </is>
      </c>
      <c r="I8" t="n">
        <v>6.3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Grynig filtlav
Fällmossa
Blåsippa</t>
        </is>
      </c>
      <c r="W8">
        <f>HYPERLINK("https://klasma.github.io/Logging_1498/artfynd/A 46261-2021 artfynd.xlsx", "A 46261-2021")</f>
        <v/>
      </c>
      <c r="X8">
        <f>HYPERLINK("https://klasma.github.io/Logging_1498/kartor/A 46261-2021 karta.png", "A 46261-2021")</f>
        <v/>
      </c>
      <c r="Y8">
        <f>HYPERLINK("https://klasma.github.io/Logging_1498/kartor_geotiff/A 46261-2021 georefererad karta.tif", "A 46261-2021")</f>
        <v/>
      </c>
      <c r="AA8">
        <f>HYPERLINK("https://klasma.github.io/Logging_1498/klagomål/A 46261-2021 FSC-klagomål.docx", "A 46261-2021")</f>
        <v/>
      </c>
      <c r="AB8">
        <f>HYPERLINK("https://klasma.github.io/Logging_1498/klagomålsmail/A 46261-2021 FSC-klagomål mail.docx", "A 46261-2021")</f>
        <v/>
      </c>
      <c r="AC8">
        <f>HYPERLINK("https://klasma.github.io/Logging_1498/tillsyn/A 46261-2021 tillsynsbegäran.docx", "A 46261-2021")</f>
        <v/>
      </c>
      <c r="AD8">
        <f>HYPERLINK("https://klasma.github.io/Logging_1498/tillsynsmail/A 46261-2021 tillsynsbegäran mail.docx", "A 46261-2021")</f>
        <v/>
      </c>
    </row>
    <row r="9" ht="15" customHeight="1">
      <c r="A9" t="inlineStr">
        <is>
          <t>S 1294-2020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43986</v>
      </c>
      <c r="E9" s="1" t="n">
        <v>46263</v>
      </c>
      <c r="F9" t="inlineStr">
        <is>
          <t>VÄSTRA GÖTALANDS LÄN</t>
        </is>
      </c>
      <c r="G9" t="inlineStr">
        <is>
          <t>TIDAHOLM</t>
        </is>
      </c>
      <c r="I9" t="n">
        <v>2.7</v>
      </c>
      <c r="J9" t="n">
        <v>0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Narrklibbfibbla
Tallticka
Sotlav</t>
        </is>
      </c>
      <c r="W9">
        <f>HYPERLINK("https://klasma.github.io/Logging_1498/artfynd/S 1294-2020 artfynd.xlsx", "S 1294-2020")</f>
        <v/>
      </c>
      <c r="X9">
        <f>HYPERLINK("https://klasma.github.io/Logging_1498/kartor/S 1294-2020 karta.png", "S 1294-2020")</f>
        <v/>
      </c>
      <c r="Y9">
        <f>HYPERLINK("https://klasma.github.io/Logging_1498/kartor_geotiff/S 1294-2020 georefererad karta.tif", "S 1294-2020")</f>
        <v/>
      </c>
      <c r="AA9">
        <f>HYPERLINK("https://klasma.github.io/Logging_1498/klagomål/S 1294-2020 FSC-klagomål.docx", "S 1294-2020")</f>
        <v/>
      </c>
      <c r="AB9">
        <f>HYPERLINK("https://klasma.github.io/Logging_1498/klagomålsmail/S 1294-2020 FSC-klagomål mail.docx", "S 1294-2020")</f>
        <v/>
      </c>
      <c r="AC9">
        <f>HYPERLINK("https://klasma.github.io/Logging_1498/tillsyn/S 1294-2020 tillsynsbegäran.docx", "S 1294-2020")</f>
        <v/>
      </c>
      <c r="AD9">
        <f>HYPERLINK("https://klasma.github.io/Logging_1498/tillsynsmail/S 1294-2020 tillsynsbegäran mail.docx", "S 1294-2020")</f>
        <v/>
      </c>
    </row>
    <row r="10" ht="15" customHeight="1">
      <c r="A10" t="inlineStr">
        <is>
          <t>S 964-2022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44607</v>
      </c>
      <c r="E10" s="1" t="n">
        <v>46263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Sveaskog</t>
        </is>
      </c>
      <c r="I10" t="n">
        <v>227.6</v>
      </c>
      <c r="J10" t="n">
        <v>3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Storspov
Gulsparv
Göktyta</t>
        </is>
      </c>
      <c r="W10">
        <f>HYPERLINK("https://klasma.github.io/Logging_1498/artfynd/S 964-2022 artfynd.xlsx", "S 964-2022")</f>
        <v/>
      </c>
      <c r="X10">
        <f>HYPERLINK("https://klasma.github.io/Logging_1498/kartor/S 964-2022 karta.png", "S 964-2022")</f>
        <v/>
      </c>
      <c r="Y10">
        <f>HYPERLINK("https://klasma.github.io/Logging_1498/kartor_geotiff/S 964-2022 georefererad karta.tif", "S 964-2022")</f>
        <v/>
      </c>
      <c r="AA10">
        <f>HYPERLINK("https://klasma.github.io/Logging_1498/klagomål/S 964-2022 FSC-klagomål.docx", "S 964-2022")</f>
        <v/>
      </c>
      <c r="AB10">
        <f>HYPERLINK("https://klasma.github.io/Logging_1498/klagomålsmail/S 964-2022 FSC-klagomål mail.docx", "S 964-2022")</f>
        <v/>
      </c>
      <c r="AC10">
        <f>HYPERLINK("https://klasma.github.io/Logging_1498/tillsyn/S 964-2022 tillsynsbegäran.docx", "S 964-2022")</f>
        <v/>
      </c>
      <c r="AD10">
        <f>HYPERLINK("https://klasma.github.io/Logging_1498/tillsynsmail/S 964-2022 tillsynsbegäran mail.docx", "S 964-2022")</f>
        <v/>
      </c>
      <c r="AE10">
        <f>HYPERLINK("https://klasma.github.io/Logging_1498/fåglar/S 964-2022 prioriterade fågelarter.docx", "S 964-2022")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46263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44466-2023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46263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Allmännings- och besparingsskogar</t>
        </is>
      </c>
      <c r="I12" t="n">
        <v>7.4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5</v>
      </c>
      <c r="V12" s="2" t="inlineStr">
        <is>
          <t>Mosippa
Dropptaggsvamp</t>
        </is>
      </c>
      <c r="W12">
        <f>HYPERLINK("https://klasma.github.io/Logging_1498/artfynd/A 44466-2023 artfynd.xlsx", "A 44466-2023")</f>
        <v/>
      </c>
      <c r="X12">
        <f>HYPERLINK("https://klasma.github.io/Logging_1498/kartor/A 44466-2023 karta.png", "A 44466-2023")</f>
        <v/>
      </c>
      <c r="Y12">
        <f>HYPERLINK("https://klasma.github.io/Logging_1498/kartor_geotiff/A 44466-2023 georefererad karta.tif", "A 44466-2023")</f>
        <v/>
      </c>
      <c r="AA12">
        <f>HYPERLINK("https://klasma.github.io/Logging_1498/klagomål/A 44466-2023 FSC-klagomål.docx", "A 44466-2023")</f>
        <v/>
      </c>
      <c r="AB12">
        <f>HYPERLINK("https://klasma.github.io/Logging_1498/klagomålsmail/A 44466-2023 FSC-klagomål mail.docx", "A 44466-2023")</f>
        <v/>
      </c>
      <c r="AC12">
        <f>HYPERLINK("https://klasma.github.io/Logging_1498/tillsyn/A 44466-2023 tillsynsbegäran.docx", "A 44466-2023")</f>
        <v/>
      </c>
      <c r="AD12">
        <f>HYPERLINK("https://klasma.github.io/Logging_1498/tillsynsmail/A 44466-2023 tillsynsbegäran mail.docx", "A 44466-2023")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46263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46263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46263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46263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46263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46263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46263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46263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46263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46263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46263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46263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46263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46263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46263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46263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46263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46263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46263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46263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46263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46263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46263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46263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46263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46263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46263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46263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46263</v>
      </c>
      <c r="F45" t="inlineStr">
        <is>
          <t>VÄSTRA GÖTALANDS LÄN</t>
        </is>
      </c>
      <c r="G45" t="inlineStr">
        <is>
          <t>TIDAHOLM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46263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46263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46263</v>
      </c>
      <c r="F48" t="inlineStr">
        <is>
          <t>VÄSTRA GÖTALANDS LÄN</t>
        </is>
      </c>
      <c r="G48" t="inlineStr">
        <is>
          <t>TIDAHOLM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46263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46263</v>
      </c>
      <c r="F50" t="inlineStr">
        <is>
          <t>VÄSTRA GÖTALANDS LÄN</t>
        </is>
      </c>
      <c r="G50" t="inlineStr">
        <is>
          <t>TIDAHOLM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46263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46263</v>
      </c>
      <c r="F52" t="inlineStr">
        <is>
          <t>VÄSTRA GÖTALANDS LÄN</t>
        </is>
      </c>
      <c r="G52" t="inlineStr">
        <is>
          <t>TIDAHOLM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44703</v>
      </c>
      <c r="E53" s="1" t="n">
        <v>46263</v>
      </c>
      <c r="F53" t="inlineStr">
        <is>
          <t>VÄSTRA GÖTALANDS LÄN</t>
        </is>
      </c>
      <c r="G53" t="inlineStr">
        <is>
          <t>TIDAHOLM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46263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46263</v>
      </c>
      <c r="F55" t="inlineStr">
        <is>
          <t>VÄSTRA GÖTALANDS LÄN</t>
        </is>
      </c>
      <c r="G55" t="inlineStr">
        <is>
          <t>TIDAHOLM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46263</v>
      </c>
      <c r="F56" t="inlineStr">
        <is>
          <t>VÄSTRA GÖTALANDS LÄN</t>
        </is>
      </c>
      <c r="G56" t="inlineStr">
        <is>
          <t>TIDAHOLM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46263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46263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46263</v>
      </c>
      <c r="F59" t="inlineStr">
        <is>
          <t>VÄSTRA GÖTALANDS LÄN</t>
        </is>
      </c>
      <c r="G59" t="inlineStr">
        <is>
          <t>TIDAHOLM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46263</v>
      </c>
      <c r="F60" t="inlineStr">
        <is>
          <t>VÄSTRA GÖTALANDS LÄN</t>
        </is>
      </c>
      <c r="G60" t="inlineStr">
        <is>
          <t>TIDAHOLM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46263</v>
      </c>
      <c r="F61" t="inlineStr">
        <is>
          <t>VÄSTRA GÖTALANDS LÄN</t>
        </is>
      </c>
      <c r="G61" t="inlineStr">
        <is>
          <t>TIDAHOLM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46263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46263</v>
      </c>
      <c r="F63" t="inlineStr">
        <is>
          <t>VÄSTRA GÖTALANDS LÄN</t>
        </is>
      </c>
      <c r="G63" t="inlineStr">
        <is>
          <t>TIDAHOLM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46263</v>
      </c>
      <c r="F64" t="inlineStr">
        <is>
          <t>VÄSTRA GÖTALANDS LÄN</t>
        </is>
      </c>
      <c r="G64" t="inlineStr">
        <is>
          <t>TIDAHOLM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46263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44589</v>
      </c>
      <c r="E66" s="1" t="n">
        <v>46263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46263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46263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46263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46263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46263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46263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46263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46263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46263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46263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46263</v>
      </c>
      <c r="F77" t="inlineStr">
        <is>
          <t>VÄSTRA GÖTALANDS LÄN</t>
        </is>
      </c>
      <c r="G77" t="inlineStr">
        <is>
          <t>TIDAHOLM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46263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46263</v>
      </c>
      <c r="F79" t="inlineStr">
        <is>
          <t>VÄSTRA GÖTALANDS LÄN</t>
        </is>
      </c>
      <c r="G79" t="inlineStr">
        <is>
          <t>TIDAHOLM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46263</v>
      </c>
      <c r="F80" t="inlineStr">
        <is>
          <t>VÄSTRA GÖTALANDS LÄN</t>
        </is>
      </c>
      <c r="G80" t="inlineStr">
        <is>
          <t>TIDAHOLM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46263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27822-2023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46263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Kyrkan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45335</v>
      </c>
      <c r="E83" s="1" t="n">
        <v>46263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46263</v>
      </c>
      <c r="F84" t="inlineStr">
        <is>
          <t>VÄSTRA GÖTALANDS LÄN</t>
        </is>
      </c>
      <c r="G84" t="inlineStr">
        <is>
          <t>TIDAHOLM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46263</v>
      </c>
      <c r="F85" t="inlineStr">
        <is>
          <t>VÄSTRA GÖTALANDS LÄN</t>
        </is>
      </c>
      <c r="G85" t="inlineStr">
        <is>
          <t>TIDAHOLM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46263</v>
      </c>
      <c r="F86" t="inlineStr">
        <is>
          <t>VÄSTRA GÖTALANDS LÄN</t>
        </is>
      </c>
      <c r="G86" t="inlineStr">
        <is>
          <t>TIDAHOLM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46263</v>
      </c>
      <c r="F87" t="inlineStr">
        <is>
          <t>VÄSTRA GÖTALANDS LÄN</t>
        </is>
      </c>
      <c r="G87" t="inlineStr">
        <is>
          <t>TIDAHOLM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46263</v>
      </c>
      <c r="F88" t="inlineStr">
        <is>
          <t>VÄSTRA GÖTALANDS LÄN</t>
        </is>
      </c>
      <c r="G88" t="inlineStr">
        <is>
          <t>TIDAHOLM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45779</v>
      </c>
      <c r="E89" s="1" t="n">
        <v>46263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46263</v>
      </c>
      <c r="F90" t="inlineStr">
        <is>
          <t>VÄSTRA GÖTALANDS LÄN</t>
        </is>
      </c>
      <c r="G90" t="inlineStr">
        <is>
          <t>TIDAHOLM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45473</v>
      </c>
      <c r="E91" s="1" t="n">
        <v>46263</v>
      </c>
      <c r="F91" t="inlineStr">
        <is>
          <t>VÄSTRA GÖTALANDS LÄN</t>
        </is>
      </c>
      <c r="G91" t="inlineStr">
        <is>
          <t>TIDAHOLM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46263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46263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46263</v>
      </c>
      <c r="F94" t="inlineStr">
        <is>
          <t>VÄSTRA GÖTALANDS LÄN</t>
        </is>
      </c>
      <c r="G94" t="inlineStr">
        <is>
          <t>TIDAHOLM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46263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46263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22857-2025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46263</v>
      </c>
      <c r="F97" t="inlineStr">
        <is>
          <t>VÄSTRA GÖTALANDS LÄN</t>
        </is>
      </c>
      <c r="G97" t="inlineStr">
        <is>
          <t>TIDAHOLM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46263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46263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33568-2024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45519</v>
      </c>
      <c r="E100" s="1" t="n">
        <v>46263</v>
      </c>
      <c r="F100" t="inlineStr">
        <is>
          <t>VÄSTRA GÖTALANDS LÄN</t>
        </is>
      </c>
      <c r="G100" t="inlineStr">
        <is>
          <t>TIDAHOLM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46263</v>
      </c>
      <c r="F101" t="inlineStr">
        <is>
          <t>VÄSTRA GÖTALANDS LÄN</t>
        </is>
      </c>
      <c r="G101" t="inlineStr">
        <is>
          <t>TIDAHOLM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7917-2023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44973</v>
      </c>
      <c r="E102" s="1" t="n">
        <v>46263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46263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45576</v>
      </c>
      <c r="E104" s="1" t="n">
        <v>46263</v>
      </c>
      <c r="F104" t="inlineStr">
        <is>
          <t>VÄSTRA GÖTALANDS LÄN</t>
        </is>
      </c>
      <c r="G104" t="inlineStr">
        <is>
          <t>TIDAHOLM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46263</v>
      </c>
      <c r="F105" t="inlineStr">
        <is>
          <t>VÄSTRA GÖTALANDS LÄN</t>
        </is>
      </c>
      <c r="G105" t="inlineStr">
        <is>
          <t>TIDAHOLM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46263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45967</v>
      </c>
      <c r="E107" s="1" t="n">
        <v>46263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45967</v>
      </c>
      <c r="E108" s="1" t="n">
        <v>46263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45967</v>
      </c>
      <c r="E109" s="1" t="n">
        <v>46263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45967</v>
      </c>
      <c r="E110" s="1" t="n">
        <v>46263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45967</v>
      </c>
      <c r="E111" s="1" t="n">
        <v>46263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45967</v>
      </c>
      <c r="E112" s="1" t="n">
        <v>46263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45968</v>
      </c>
      <c r="E113" s="1" t="n">
        <v>46263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45967</v>
      </c>
      <c r="E114" s="1" t="n">
        <v>46263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45967</v>
      </c>
      <c r="E115" s="1" t="n">
        <v>46263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45711</v>
      </c>
      <c r="E116" s="1" t="n">
        <v>46263</v>
      </c>
      <c r="F116" t="inlineStr">
        <is>
          <t>VÄSTRA GÖTALANDS LÄN</t>
        </is>
      </c>
      <c r="G116" t="inlineStr">
        <is>
          <t>TIDAHOLM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46263</v>
      </c>
      <c r="F117" t="inlineStr">
        <is>
          <t>VÄSTRA GÖTALANDS LÄN</t>
        </is>
      </c>
      <c r="G117" t="inlineStr">
        <is>
          <t>TIDAHOLM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46263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46263</v>
      </c>
      <c r="F119" t="inlineStr">
        <is>
          <t>VÄSTRA GÖTALANDS LÄN</t>
        </is>
      </c>
      <c r="G119" t="inlineStr">
        <is>
          <t>TIDAHOLM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45899</v>
      </c>
      <c r="E120" s="1" t="n">
        <v>46263</v>
      </c>
      <c r="F120" t="inlineStr">
        <is>
          <t>VÄSTRA GÖTALANDS LÄN</t>
        </is>
      </c>
      <c r="G120" t="inlineStr">
        <is>
          <t>TIDAHOLM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46263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46263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46263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46263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46263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46263</v>
      </c>
      <c r="F126" t="inlineStr">
        <is>
          <t>VÄSTRA GÖTALANDS LÄN</t>
        </is>
      </c>
      <c r="G126" t="inlineStr">
        <is>
          <t>TIDAHOLM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46263</v>
      </c>
      <c r="F127" t="inlineStr">
        <is>
          <t>VÄSTRA GÖTALANDS LÄN</t>
        </is>
      </c>
      <c r="G127" t="inlineStr">
        <is>
          <t>TIDAHOLM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46263</v>
      </c>
      <c r="F128" t="inlineStr">
        <is>
          <t>VÄSTRA GÖTALANDS LÄN</t>
        </is>
      </c>
      <c r="G128" t="inlineStr">
        <is>
          <t>TIDAHOLM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46263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46263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45420</v>
      </c>
      <c r="E131" s="1" t="n">
        <v>46263</v>
      </c>
      <c r="F131" t="inlineStr">
        <is>
          <t>VÄSTRA GÖTALANDS LÄN</t>
        </is>
      </c>
      <c r="G131" t="inlineStr">
        <is>
          <t>TIDAHOLM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45979</v>
      </c>
      <c r="E132" s="1" t="n">
        <v>46263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46263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Kyrkan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46263</v>
      </c>
      <c r="F134" t="inlineStr">
        <is>
          <t>VÄSTRA GÖTALANDS LÄN</t>
        </is>
      </c>
      <c r="G134" t="inlineStr">
        <is>
          <t>TIDAHOLM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46263</v>
      </c>
      <c r="F135" t="inlineStr">
        <is>
          <t>VÄSTRA GÖTALANDS LÄN</t>
        </is>
      </c>
      <c r="G135" t="inlineStr">
        <is>
          <t>TIDAHOLM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44911</v>
      </c>
      <c r="E136" s="1" t="n">
        <v>46263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46263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46263</v>
      </c>
      <c r="F138" t="inlineStr">
        <is>
          <t>VÄSTRA GÖTALANDS LÄN</t>
        </is>
      </c>
      <c r="G138" t="inlineStr">
        <is>
          <t>TIDAHOLM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46263</v>
      </c>
      <c r="F139" t="inlineStr">
        <is>
          <t>VÄSTRA GÖTALANDS LÄN</t>
        </is>
      </c>
      <c r="G139" t="inlineStr">
        <is>
          <t>TIDAHOLM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46263</v>
      </c>
      <c r="F140" t="inlineStr">
        <is>
          <t>VÄSTRA GÖTALANDS LÄN</t>
        </is>
      </c>
      <c r="G140" t="inlineStr">
        <is>
          <t>TIDAHOLM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46263</v>
      </c>
      <c r="F141" t="inlineStr">
        <is>
          <t>VÄSTRA GÖTALANDS LÄN</t>
        </is>
      </c>
      <c r="G141" t="inlineStr">
        <is>
          <t>TIDAHOLM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46263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46263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45930</v>
      </c>
      <c r="E144" s="1" t="n">
        <v>46263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46263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46263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46263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46263</v>
      </c>
      <c r="F148" t="inlineStr">
        <is>
          <t>VÄSTRA GÖTALANDS LÄN</t>
        </is>
      </c>
      <c r="G148" t="inlineStr">
        <is>
          <t>TIDAHOLM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46263</v>
      </c>
      <c r="F149" t="inlineStr">
        <is>
          <t>VÄSTRA GÖTALANDS LÄN</t>
        </is>
      </c>
      <c r="G149" t="inlineStr">
        <is>
          <t>TIDAHOLM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46263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44997</v>
      </c>
      <c r="E151" s="1" t="n">
        <v>46263</v>
      </c>
      <c r="F151" t="inlineStr">
        <is>
          <t>VÄSTRA GÖTALANDS LÄN</t>
        </is>
      </c>
      <c r="G151" t="inlineStr">
        <is>
          <t>TIDAHOLM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45556</v>
      </c>
      <c r="E152" s="1" t="n">
        <v>46263</v>
      </c>
      <c r="F152" t="inlineStr">
        <is>
          <t>VÄSTRA GÖTALANDS LÄN</t>
        </is>
      </c>
      <c r="G152" t="inlineStr">
        <is>
          <t>TIDAHOLM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46263</v>
      </c>
      <c r="F153" t="inlineStr">
        <is>
          <t>VÄSTRA GÖTALANDS LÄN</t>
        </is>
      </c>
      <c r="G153" t="inlineStr">
        <is>
          <t>TIDAHOLM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46263</v>
      </c>
      <c r="F154" t="inlineStr">
        <is>
          <t>VÄSTRA GÖTALANDS LÄN</t>
        </is>
      </c>
      <c r="G154" t="inlineStr">
        <is>
          <t>TIDAHOLM</t>
        </is>
      </c>
      <c r="I154" t="n">
        <v>13.8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44910</v>
      </c>
      <c r="E155" s="1" t="n">
        <v>46263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46263</v>
      </c>
      <c r="F156" t="inlineStr">
        <is>
          <t>VÄSTRA GÖTALANDS LÄN</t>
        </is>
      </c>
      <c r="G156" t="inlineStr">
        <is>
          <t>TIDAHOLM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46263</v>
      </c>
      <c r="F157" t="inlineStr">
        <is>
          <t>VÄSTRA GÖTALANDS LÄN</t>
        </is>
      </c>
      <c r="G157" t="inlineStr">
        <is>
          <t>TIDAHOLM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46263</v>
      </c>
      <c r="F158" t="inlineStr">
        <is>
          <t>VÄSTRA GÖTALANDS LÄN</t>
        </is>
      </c>
      <c r="G158" t="inlineStr">
        <is>
          <t>TIDAHOLM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46263</v>
      </c>
      <c r="F159" t="inlineStr">
        <is>
          <t>VÄSTRA GÖTALANDS LÄN</t>
        </is>
      </c>
      <c r="G159" t="inlineStr">
        <is>
          <t>TIDAHOLM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46263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45687</v>
      </c>
      <c r="E161" s="1" t="n">
        <v>46263</v>
      </c>
      <c r="F161" t="inlineStr">
        <is>
          <t>VÄSTRA GÖTALANDS LÄN</t>
        </is>
      </c>
      <c r="G161" t="inlineStr">
        <is>
          <t>TIDAHOLM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46263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Kyrkan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35479-2023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45146</v>
      </c>
      <c r="E163" s="1" t="n">
        <v>46263</v>
      </c>
      <c r="F163" t="inlineStr">
        <is>
          <t>VÄSTRA GÖTALANDS LÄN</t>
        </is>
      </c>
      <c r="G163" t="inlineStr">
        <is>
          <t>TIDAHOLM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45547</v>
      </c>
      <c r="E164" s="1" t="n">
        <v>46263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46263</v>
      </c>
      <c r="F165" t="inlineStr">
        <is>
          <t>VÄSTRA GÖTALANDS LÄN</t>
        </is>
      </c>
      <c r="G165" t="inlineStr">
        <is>
          <t>TIDAHOLM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44911</v>
      </c>
      <c r="E166" s="1" t="n">
        <v>46263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46263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46263</v>
      </c>
      <c r="F168" t="inlineStr">
        <is>
          <t>VÄSTRA GÖTALANDS LÄN</t>
        </is>
      </c>
      <c r="G168" t="inlineStr">
        <is>
          <t>TIDAHOLM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46263</v>
      </c>
      <c r="F169" t="inlineStr">
        <is>
          <t>VÄSTRA GÖTALANDS LÄN</t>
        </is>
      </c>
      <c r="G169" t="inlineStr">
        <is>
          <t>TIDAHOLM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46263</v>
      </c>
      <c r="F170" t="inlineStr">
        <is>
          <t>VÄSTRA GÖTALANDS LÄN</t>
        </is>
      </c>
      <c r="G170" t="inlineStr">
        <is>
          <t>TIDAHOLM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44630</v>
      </c>
      <c r="E171" s="1" t="n">
        <v>46263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46263</v>
      </c>
      <c r="F172" t="inlineStr">
        <is>
          <t>VÄSTRA GÖTALANDS LÄN</t>
        </is>
      </c>
      <c r="G172" t="inlineStr">
        <is>
          <t>TIDAHOLM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44930</v>
      </c>
      <c r="E173" s="1" t="n">
        <v>46263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46006</v>
      </c>
      <c r="E174" s="1" t="n">
        <v>46263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Kyrkan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46263</v>
      </c>
      <c r="F175" t="inlineStr">
        <is>
          <t>VÄSTRA GÖTALANDS LÄN</t>
        </is>
      </c>
      <c r="G175" t="inlineStr">
        <is>
          <t>TIDAHOLM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46263</v>
      </c>
      <c r="F176" t="inlineStr">
        <is>
          <t>VÄSTRA GÖTALANDS LÄN</t>
        </is>
      </c>
      <c r="G176" t="inlineStr">
        <is>
          <t>TIDAHOLM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46263</v>
      </c>
      <c r="F177" t="inlineStr">
        <is>
          <t>VÄSTRA GÖTALANDS LÄN</t>
        </is>
      </c>
      <c r="G177" t="inlineStr">
        <is>
          <t>TIDAHOLM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46263</v>
      </c>
      <c r="F178" t="inlineStr">
        <is>
          <t>VÄSTRA GÖTALANDS LÄN</t>
        </is>
      </c>
      <c r="G178" t="inlineStr">
        <is>
          <t>TIDAHOLM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46263</v>
      </c>
      <c r="F179" t="inlineStr">
        <is>
          <t>VÄSTRA GÖTALANDS LÄN</t>
        </is>
      </c>
      <c r="G179" t="inlineStr">
        <is>
          <t>TIDAHOLM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46263</v>
      </c>
      <c r="F180" t="inlineStr">
        <is>
          <t>VÄSTRA GÖTALANDS LÄN</t>
        </is>
      </c>
      <c r="G180" t="inlineStr">
        <is>
          <t>TIDAHOLM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46263</v>
      </c>
      <c r="F181" t="inlineStr">
        <is>
          <t>VÄSTRA GÖTALANDS LÄN</t>
        </is>
      </c>
      <c r="G181" t="inlineStr">
        <is>
          <t>TIDAHOLM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46263</v>
      </c>
      <c r="F182" t="inlineStr">
        <is>
          <t>VÄSTRA GÖTALANDS LÄN</t>
        </is>
      </c>
      <c r="G182" t="inlineStr">
        <is>
          <t>TIDAHOLM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46263</v>
      </c>
      <c r="F183" t="inlineStr">
        <is>
          <t>VÄSTRA GÖTALANDS LÄN</t>
        </is>
      </c>
      <c r="G183" t="inlineStr">
        <is>
          <t>TIDAHOLM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45684</v>
      </c>
      <c r="E184" s="1" t="n">
        <v>46263</v>
      </c>
      <c r="F184" t="inlineStr">
        <is>
          <t>VÄSTRA GÖTALANDS LÄN</t>
        </is>
      </c>
      <c r="G184" t="inlineStr">
        <is>
          <t>TIDAHOLM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46263</v>
      </c>
      <c r="F185" t="inlineStr">
        <is>
          <t>VÄSTRA GÖTALANDS LÄN</t>
        </is>
      </c>
      <c r="G185" t="inlineStr">
        <is>
          <t>TIDAHOLM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46263</v>
      </c>
      <c r="F186" t="inlineStr">
        <is>
          <t>VÄSTRA GÖTALANDS LÄN</t>
        </is>
      </c>
      <c r="G186" t="inlineStr">
        <is>
          <t>TIDAHOLM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46263</v>
      </c>
      <c r="F187" t="inlineStr">
        <is>
          <t>VÄSTRA GÖTALANDS LÄN</t>
        </is>
      </c>
      <c r="G187" t="inlineStr">
        <is>
          <t>TIDAHOLM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45669</v>
      </c>
      <c r="E188" s="1" t="n">
        <v>46263</v>
      </c>
      <c r="F188" t="inlineStr">
        <is>
          <t>VÄSTRA GÖTALANDS LÄN</t>
        </is>
      </c>
      <c r="G188" t="inlineStr">
        <is>
          <t>TIDAHOLM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45779</v>
      </c>
      <c r="E189" s="1" t="n">
        <v>46263</v>
      </c>
      <c r="F189" t="inlineStr">
        <is>
          <t>VÄSTRA GÖTALANDS LÄN</t>
        </is>
      </c>
      <c r="G189" t="inlineStr">
        <is>
          <t>TIDAHOLM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14334-2025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45740</v>
      </c>
      <c r="E190" s="1" t="n">
        <v>46263</v>
      </c>
      <c r="F190" t="inlineStr">
        <is>
          <t>VÄSTRA GÖTALANDS LÄN</t>
        </is>
      </c>
      <c r="G190" t="inlineStr">
        <is>
          <t>TIDAHOLM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49865-2024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45596</v>
      </c>
      <c r="E191" s="1" t="n">
        <v>46263</v>
      </c>
      <c r="F191" t="inlineStr">
        <is>
          <t>VÄSTRA GÖTALANDS LÄN</t>
        </is>
      </c>
      <c r="G191" t="inlineStr">
        <is>
          <t>TIDAHOLM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45280</v>
      </c>
      <c r="E192" s="1" t="n">
        <v>46263</v>
      </c>
      <c r="F192" t="inlineStr">
        <is>
          <t>VÄSTRA GÖTALANDS LÄN</t>
        </is>
      </c>
      <c r="G192" t="inlineStr">
        <is>
          <t>TIDAHOLM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46263</v>
      </c>
      <c r="F193" t="inlineStr">
        <is>
          <t>VÄSTRA GÖTALANDS LÄN</t>
        </is>
      </c>
      <c r="G193" t="inlineStr">
        <is>
          <t>TIDAHOLM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46263</v>
      </c>
      <c r="F194" t="inlineStr">
        <is>
          <t>VÄSTRA GÖTALANDS LÄN</t>
        </is>
      </c>
      <c r="G194" t="inlineStr">
        <is>
          <t>TIDAHOLM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46263</v>
      </c>
      <c r="F195" t="inlineStr">
        <is>
          <t>VÄSTRA GÖTALANDS LÄN</t>
        </is>
      </c>
      <c r="G195" t="inlineStr">
        <is>
          <t>TIDAHOLM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46263</v>
      </c>
      <c r="F196" t="inlineStr">
        <is>
          <t>VÄSTRA GÖTALANDS LÄN</t>
        </is>
      </c>
      <c r="G196" t="inlineStr">
        <is>
          <t>TIDAHOLM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46263</v>
      </c>
      <c r="F197" t="inlineStr">
        <is>
          <t>VÄSTRA GÖTALANDS LÄN</t>
        </is>
      </c>
      <c r="G197" t="inlineStr">
        <is>
          <t>TIDAHOLM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35388-2025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45855</v>
      </c>
      <c r="E198" s="1" t="n">
        <v>46263</v>
      </c>
      <c r="F198" t="inlineStr">
        <is>
          <t>VÄSTRA GÖTALANDS LÄN</t>
        </is>
      </c>
      <c r="G198" t="inlineStr">
        <is>
          <t>TIDAHOLM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45473</v>
      </c>
      <c r="E199" s="1" t="n">
        <v>46263</v>
      </c>
      <c r="F199" t="inlineStr">
        <is>
          <t>VÄSTRA GÖTALANDS LÄN</t>
        </is>
      </c>
      <c r="G199" t="inlineStr">
        <is>
          <t>TIDAHOLM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46263</v>
      </c>
      <c r="F200" t="inlineStr">
        <is>
          <t>VÄSTRA GÖTALANDS LÄN</t>
        </is>
      </c>
      <c r="G200" t="inlineStr">
        <is>
          <t>TIDAHOLM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45861</v>
      </c>
      <c r="E201" s="1" t="n">
        <v>46263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14907-2023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45013</v>
      </c>
      <c r="E202" s="1" t="n">
        <v>46263</v>
      </c>
      <c r="F202" t="inlineStr">
        <is>
          <t>VÄSTRA GÖTALANDS LÄN</t>
        </is>
      </c>
      <c r="G202" t="inlineStr">
        <is>
          <t>TIDAHOLM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46263</v>
      </c>
      <c r="F203" t="inlineStr">
        <is>
          <t>VÄSTRA GÖTALANDS LÄN</t>
        </is>
      </c>
      <c r="G203" t="inlineStr">
        <is>
          <t>TIDAHOLM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46263</v>
      </c>
      <c r="F204" t="inlineStr">
        <is>
          <t>VÄSTRA GÖTALANDS LÄN</t>
        </is>
      </c>
      <c r="G204" t="inlineStr">
        <is>
          <t>TIDAHOLM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46263</v>
      </c>
      <c r="F205" t="inlineStr">
        <is>
          <t>VÄSTRA GÖTALANDS LÄN</t>
        </is>
      </c>
      <c r="G205" t="inlineStr">
        <is>
          <t>TIDAHOLM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46263</v>
      </c>
      <c r="F206" t="inlineStr">
        <is>
          <t>VÄSTRA GÖTALANDS LÄN</t>
        </is>
      </c>
      <c r="G206" t="inlineStr">
        <is>
          <t>TIDAHOLM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46263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Allmännings- och besparingsskogar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46263</v>
      </c>
      <c r="F208" t="inlineStr">
        <is>
          <t>VÄSTRA GÖTALANDS LÄN</t>
        </is>
      </c>
      <c r="G208" t="inlineStr">
        <is>
          <t>TIDAHOLM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45469</v>
      </c>
      <c r="E209" s="1" t="n">
        <v>46263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45414</v>
      </c>
      <c r="E210" s="1" t="n">
        <v>46263</v>
      </c>
      <c r="F210" t="inlineStr">
        <is>
          <t>VÄSTRA GÖTALANDS LÄN</t>
        </is>
      </c>
      <c r="G210" t="inlineStr">
        <is>
          <t>TIDAHOLM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46263</v>
      </c>
      <c r="F211" t="inlineStr">
        <is>
          <t>VÄSTRA GÖTALANDS LÄN</t>
        </is>
      </c>
      <c r="G211" t="inlineStr">
        <is>
          <t>TIDAHOLM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46263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46263</v>
      </c>
      <c r="F213" t="inlineStr">
        <is>
          <t>VÄSTRA GÖTALANDS LÄN</t>
        </is>
      </c>
      <c r="G213" t="inlineStr">
        <is>
          <t>TIDAHOLM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45608</v>
      </c>
      <c r="E214" s="1" t="n">
        <v>46263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46263</v>
      </c>
      <c r="F215" t="inlineStr">
        <is>
          <t>VÄSTRA GÖTALANDS LÄN</t>
        </is>
      </c>
      <c r="G215" t="inlineStr">
        <is>
          <t>TIDAHOLM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45534</v>
      </c>
      <c r="E216" s="1" t="n">
        <v>46263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Allmännings- och besparingsskogar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46263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44783</v>
      </c>
      <c r="E218" s="1" t="n">
        <v>46263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46263</v>
      </c>
      <c r="F219" t="inlineStr">
        <is>
          <t>VÄSTRA GÖTALANDS LÄN</t>
        </is>
      </c>
      <c r="G219" t="inlineStr">
        <is>
          <t>TIDAHOLM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46263</v>
      </c>
      <c r="F220" t="inlineStr">
        <is>
          <t>VÄSTRA GÖTALANDS LÄN</t>
        </is>
      </c>
      <c r="G220" t="inlineStr">
        <is>
          <t>TIDAHOLM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46263</v>
      </c>
      <c r="F221" t="inlineStr">
        <is>
          <t>VÄSTRA GÖTALANDS LÄN</t>
        </is>
      </c>
      <c r="G221" t="inlineStr">
        <is>
          <t>TIDAHOLM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46263</v>
      </c>
      <c r="F222" t="inlineStr">
        <is>
          <t>VÄSTRA GÖTALANDS LÄN</t>
        </is>
      </c>
      <c r="G222" t="inlineStr">
        <is>
          <t>TIDAHOLM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46263</v>
      </c>
      <c r="F223" t="inlineStr">
        <is>
          <t>VÄSTRA GÖTALANDS LÄN</t>
        </is>
      </c>
      <c r="G223" t="inlineStr">
        <is>
          <t>TIDAHOLM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44580</v>
      </c>
      <c r="E224" s="1" t="n">
        <v>46263</v>
      </c>
      <c r="F224" t="inlineStr">
        <is>
          <t>VÄSTRA GÖTALANDS LÄN</t>
        </is>
      </c>
      <c r="G224" t="inlineStr">
        <is>
          <t>TIDAHOLM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46263</v>
      </c>
      <c r="F225" t="inlineStr">
        <is>
          <t>VÄSTRA GÖTALANDS LÄN</t>
        </is>
      </c>
      <c r="G225" t="inlineStr">
        <is>
          <t>TIDAHOLM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69446-2021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46263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Kyrkan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74340-2021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44559</v>
      </c>
      <c r="E227" s="1" t="n">
        <v>46263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46263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46263</v>
      </c>
      <c r="F229" t="inlineStr">
        <is>
          <t>VÄSTRA GÖTALANDS LÄN</t>
        </is>
      </c>
      <c r="G229" t="inlineStr">
        <is>
          <t>TIDAHOLM</t>
        </is>
      </c>
      <c r="I229" t="n">
        <v>23.4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46263</v>
      </c>
      <c r="F230" t="inlineStr">
        <is>
          <t>VÄSTRA GÖTALANDS LÄN</t>
        </is>
      </c>
      <c r="G230" t="inlineStr">
        <is>
          <t>TIDAHOLM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46263</v>
      </c>
      <c r="F231" t="inlineStr">
        <is>
          <t>VÄSTRA GÖTALANDS LÄN</t>
        </is>
      </c>
      <c r="G231" t="inlineStr">
        <is>
          <t>TIDAHOLM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46263</v>
      </c>
      <c r="F232" t="inlineStr">
        <is>
          <t>VÄSTRA GÖTALANDS LÄN</t>
        </is>
      </c>
      <c r="G232" t="inlineStr">
        <is>
          <t>TIDAHOLM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46263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16382-2023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45029</v>
      </c>
      <c r="E234" s="1" t="n">
        <v>46263</v>
      </c>
      <c r="F234" t="inlineStr">
        <is>
          <t>VÄSTRA GÖTALANDS LÄN</t>
        </is>
      </c>
      <c r="G234" t="inlineStr">
        <is>
          <t>TIDAHOLM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46263</v>
      </c>
      <c r="F235" t="inlineStr">
        <is>
          <t>VÄSTRA GÖTALANDS LÄN</t>
        </is>
      </c>
      <c r="G235" t="inlineStr">
        <is>
          <t>TIDAHOLM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46263</v>
      </c>
      <c r="F236" t="inlineStr">
        <is>
          <t>VÄSTRA GÖTALANDS LÄN</t>
        </is>
      </c>
      <c r="G236" t="inlineStr">
        <is>
          <t>TIDAHOLM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49300-2021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44454</v>
      </c>
      <c r="E237" s="1" t="n">
        <v>46263</v>
      </c>
      <c r="F237" t="inlineStr">
        <is>
          <t>VÄSTRA GÖTALANDS LÄN</t>
        </is>
      </c>
      <c r="G237" t="inlineStr">
        <is>
          <t>TIDAHOLM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46263</v>
      </c>
      <c r="F238" t="inlineStr">
        <is>
          <t>VÄSTRA GÖTALANDS LÄN</t>
        </is>
      </c>
      <c r="G238" t="inlineStr">
        <is>
          <t>TIDAHOLM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45495</v>
      </c>
      <c r="E239" s="1" t="n">
        <v>46263</v>
      </c>
      <c r="F239" t="inlineStr">
        <is>
          <t>VÄSTRA GÖTALANDS LÄN</t>
        </is>
      </c>
      <c r="G239" t="inlineStr">
        <is>
          <t>TIDAHOLM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45495</v>
      </c>
      <c r="E240" s="1" t="n">
        <v>46263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46263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46263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46263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Kommuner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46263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7497-2026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46263</v>
      </c>
      <c r="F245" t="inlineStr">
        <is>
          <t>VÄSTRA GÖTALANDS LÄN</t>
        </is>
      </c>
      <c r="G245" t="inlineStr">
        <is>
          <t>TIDAHOLM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61362-2022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44915</v>
      </c>
      <c r="E246" s="1" t="n">
        <v>46263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46263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44831</v>
      </c>
      <c r="E248" s="1" t="n">
        <v>46263</v>
      </c>
      <c r="F248" t="inlineStr">
        <is>
          <t>VÄSTRA GÖTALANDS LÄN</t>
        </is>
      </c>
      <c r="G248" t="inlineStr">
        <is>
          <t>TIDAHOLM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46263</v>
      </c>
      <c r="F249" t="inlineStr">
        <is>
          <t>VÄSTRA GÖTALANDS LÄN</t>
        </is>
      </c>
      <c r="G249" t="inlineStr">
        <is>
          <t>TIDAHOLM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46263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45576</v>
      </c>
      <c r="E251" s="1" t="n">
        <v>46263</v>
      </c>
      <c r="F251" t="inlineStr">
        <is>
          <t>VÄSTRA GÖTALANDS LÄN</t>
        </is>
      </c>
      <c r="G251" t="inlineStr">
        <is>
          <t>TIDAHOLM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46263</v>
      </c>
      <c r="F252" t="inlineStr">
        <is>
          <t>VÄSTRA GÖTALANDS LÄN</t>
        </is>
      </c>
      <c r="G252" t="inlineStr">
        <is>
          <t>TIDAHOLM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46263</v>
      </c>
      <c r="F253" t="inlineStr">
        <is>
          <t>VÄSTRA GÖTALANDS LÄN</t>
        </is>
      </c>
      <c r="G253" t="inlineStr">
        <is>
          <t>TIDAHOLM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44546</v>
      </c>
      <c r="E254" s="1" t="n">
        <v>46263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46263</v>
      </c>
      <c r="F255" t="inlineStr">
        <is>
          <t>VÄSTRA GÖTALANDS LÄN</t>
        </is>
      </c>
      <c r="G255" t="inlineStr">
        <is>
          <t>TIDAHOLM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55780-2021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44476</v>
      </c>
      <c r="E256" s="1" t="n">
        <v>46263</v>
      </c>
      <c r="F256" t="inlineStr">
        <is>
          <t>VÄSTRA GÖTALANDS LÄN</t>
        </is>
      </c>
      <c r="G256" t="inlineStr">
        <is>
          <t>TIDAHOLM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45120</v>
      </c>
      <c r="E257" s="1" t="n">
        <v>46263</v>
      </c>
      <c r="F257" t="inlineStr">
        <is>
          <t>VÄSTRA GÖTALANDS LÄN</t>
        </is>
      </c>
      <c r="G257" t="inlineStr">
        <is>
          <t>TIDAHOLM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46263</v>
      </c>
      <c r="F258" t="inlineStr">
        <is>
          <t>VÄSTRA GÖTALANDS LÄN</t>
        </is>
      </c>
      <c r="G258" t="inlineStr">
        <is>
          <t>TIDAHOLM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46263</v>
      </c>
      <c r="F259" t="inlineStr">
        <is>
          <t>VÄSTRA GÖTALANDS LÄN</t>
        </is>
      </c>
      <c r="G259" t="inlineStr">
        <is>
          <t>TIDAHOLM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10909-2026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46263</v>
      </c>
      <c r="F260" t="inlineStr">
        <is>
          <t>VÄSTRA GÖTALANDS LÄN</t>
        </is>
      </c>
      <c r="G260" t="inlineStr">
        <is>
          <t>TIDAHOLM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46080</v>
      </c>
      <c r="E261" s="1" t="n">
        <v>46263</v>
      </c>
      <c r="F261" t="inlineStr">
        <is>
          <t>VÄSTRA GÖTALANDS LÄN</t>
        </is>
      </c>
      <c r="G261" t="inlineStr">
        <is>
          <t>TIDAHOLM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11296-2026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46080</v>
      </c>
      <c r="E262" s="1" t="n">
        <v>46263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46263</v>
      </c>
      <c r="F263" t="inlineStr">
        <is>
          <t>VÄSTRA GÖTALANDS LÄN</t>
        </is>
      </c>
      <c r="G263" t="inlineStr">
        <is>
          <t>TIDAHOLM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46263</v>
      </c>
      <c r="F264" t="inlineStr">
        <is>
          <t>VÄSTRA GÖTALANDS LÄN</t>
        </is>
      </c>
      <c r="G264" t="inlineStr">
        <is>
          <t>TIDAHOLM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46263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46263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46263</v>
      </c>
      <c r="F267" t="inlineStr">
        <is>
          <t>VÄSTRA GÖTALANDS LÄN</t>
        </is>
      </c>
      <c r="G267" t="inlineStr">
        <is>
          <t>TIDAHOLM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46263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45047</v>
      </c>
      <c r="E269" s="1" t="n">
        <v>46263</v>
      </c>
      <c r="F269" t="inlineStr">
        <is>
          <t>VÄSTRA GÖTALANDS LÄN</t>
        </is>
      </c>
      <c r="G269" t="inlineStr">
        <is>
          <t>TIDAHOLM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46263</v>
      </c>
      <c r="F270" t="inlineStr">
        <is>
          <t>VÄSTRA GÖTALANDS LÄN</t>
        </is>
      </c>
      <c r="G270" t="inlineStr">
        <is>
          <t>TIDAHOLM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45669</v>
      </c>
      <c r="E271" s="1" t="n">
        <v>46263</v>
      </c>
      <c r="F271" t="inlineStr">
        <is>
          <t>VÄSTRA GÖTALANDS LÄN</t>
        </is>
      </c>
      <c r="G271" t="inlineStr">
        <is>
          <t>TIDAHOLM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44817</v>
      </c>
      <c r="E272" s="1" t="n">
        <v>46263</v>
      </c>
      <c r="F272" t="inlineStr">
        <is>
          <t>VÄSTRA GÖTALANDS LÄN</t>
        </is>
      </c>
      <c r="G272" t="inlineStr">
        <is>
          <t>TIDAHOLM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45630</v>
      </c>
      <c r="E273" s="1" t="n">
        <v>46263</v>
      </c>
      <c r="F273" t="inlineStr">
        <is>
          <t>VÄSTRA GÖTALANDS LÄN</t>
        </is>
      </c>
      <c r="G273" t="inlineStr">
        <is>
          <t>TIDAHOLM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46263</v>
      </c>
      <c r="F274" t="inlineStr">
        <is>
          <t>VÄSTRA GÖTALANDS LÄN</t>
        </is>
      </c>
      <c r="G274" t="inlineStr">
        <is>
          <t>TIDAHOLM</t>
        </is>
      </c>
      <c r="I274" t="n">
        <v>13.7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45721</v>
      </c>
      <c r="E275" s="1" t="n">
        <v>46263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46263</v>
      </c>
      <c r="F276" t="inlineStr">
        <is>
          <t>VÄSTRA GÖTALANDS LÄN</t>
        </is>
      </c>
      <c r="G276" t="inlineStr">
        <is>
          <t>TIDAHOLM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45030</v>
      </c>
      <c r="E277" s="1" t="n">
        <v>46263</v>
      </c>
      <c r="F277" t="inlineStr">
        <is>
          <t>VÄSTRA GÖTALANDS LÄN</t>
        </is>
      </c>
      <c r="G277" t="inlineStr">
        <is>
          <t>TIDAHOLM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46263</v>
      </c>
      <c r="F278" t="inlineStr">
        <is>
          <t>VÄSTRA GÖTALANDS LÄN</t>
        </is>
      </c>
      <c r="G278" t="inlineStr">
        <is>
          <t>TIDAHOLM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46263</v>
      </c>
      <c r="F279" t="inlineStr">
        <is>
          <t>VÄSTRA GÖTALANDS LÄN</t>
        </is>
      </c>
      <c r="G279" t="inlineStr">
        <is>
          <t>TIDAHOLM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46263</v>
      </c>
      <c r="F280" t="inlineStr">
        <is>
          <t>VÄSTRA GÖTALANDS LÄN</t>
        </is>
      </c>
      <c r="G280" t="inlineStr">
        <is>
          <t>TIDAHOLM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46263</v>
      </c>
      <c r="F281" t="inlineStr">
        <is>
          <t>VÄSTRA GÖTALANDS LÄN</t>
        </is>
      </c>
      <c r="G281" t="inlineStr">
        <is>
          <t>TIDAHOLM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46263</v>
      </c>
      <c r="F282" t="inlineStr">
        <is>
          <t>VÄSTRA GÖTALANDS LÄN</t>
        </is>
      </c>
      <c r="G282" t="inlineStr">
        <is>
          <t>TIDAHOLM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45205</v>
      </c>
      <c r="E283" s="1" t="n">
        <v>46263</v>
      </c>
      <c r="F283" t="inlineStr">
        <is>
          <t>VÄSTRA GÖTALANDS LÄN</t>
        </is>
      </c>
      <c r="G283" t="inlineStr">
        <is>
          <t>TIDAHOLM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46263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22.5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46263</v>
      </c>
      <c r="F285" t="inlineStr">
        <is>
          <t>VÄSTRA GÖTALANDS LÄN</t>
        </is>
      </c>
      <c r="G285" t="inlineStr">
        <is>
          <t>TIDAHOLM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46263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56013-2024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45623</v>
      </c>
      <c r="E287" s="1" t="n">
        <v>46263</v>
      </c>
      <c r="F287" t="inlineStr">
        <is>
          <t>VÄSTRA GÖTALANDS LÄN</t>
        </is>
      </c>
      <c r="G287" t="inlineStr">
        <is>
          <t>TIDAHOLM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46263</v>
      </c>
      <c r="F288" t="inlineStr">
        <is>
          <t>VÄSTRA GÖTALANDS LÄN</t>
        </is>
      </c>
      <c r="G288" t="inlineStr">
        <is>
          <t>TIDAHOLM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46263</v>
      </c>
      <c r="F289" t="inlineStr">
        <is>
          <t>VÄSTRA GÖTALANDS LÄN</t>
        </is>
      </c>
      <c r="G289" t="inlineStr">
        <is>
          <t>TIDAHOLM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46123</v>
      </c>
      <c r="E290" s="1" t="n">
        <v>46263</v>
      </c>
      <c r="F290" t="inlineStr">
        <is>
          <t>VÄSTRA GÖTALANDS LÄN</t>
        </is>
      </c>
      <c r="G290" t="inlineStr">
        <is>
          <t>TIDAHOLM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46263</v>
      </c>
      <c r="F291" t="inlineStr">
        <is>
          <t>VÄSTRA GÖTALANDS LÄN</t>
        </is>
      </c>
      <c r="G291" t="inlineStr">
        <is>
          <t>TIDAHOLM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46263</v>
      </c>
      <c r="F292" t="inlineStr">
        <is>
          <t>VÄSTRA GÖTALANDS LÄN</t>
        </is>
      </c>
      <c r="G292" t="inlineStr">
        <is>
          <t>TIDAHOLM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45232</v>
      </c>
      <c r="E293" s="1" t="n">
        <v>46263</v>
      </c>
      <c r="F293" t="inlineStr">
        <is>
          <t>VÄSTRA GÖTALANDS LÄN</t>
        </is>
      </c>
      <c r="G293" t="inlineStr">
        <is>
          <t>TIDAHOLM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46263</v>
      </c>
      <c r="F294" t="inlineStr">
        <is>
          <t>VÄSTRA GÖTALANDS LÄN</t>
        </is>
      </c>
      <c r="G294" t="inlineStr">
        <is>
          <t>TIDAHOLM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44693</v>
      </c>
      <c r="E295" s="1" t="n">
        <v>46263</v>
      </c>
      <c r="F295" t="inlineStr">
        <is>
          <t>VÄSTRA GÖTALANDS LÄN</t>
        </is>
      </c>
      <c r="G295" t="inlineStr">
        <is>
          <t>TIDAHOLM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46263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46131</v>
      </c>
      <c r="E297" s="1" t="n">
        <v>46263</v>
      </c>
      <c r="F297" t="inlineStr">
        <is>
          <t>VÄSTRA GÖTALANDS LÄN</t>
        </is>
      </c>
      <c r="G297" t="inlineStr">
        <is>
          <t>TIDAHOLM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12026-2022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44636</v>
      </c>
      <c r="E298" s="1" t="n">
        <v>46263</v>
      </c>
      <c r="F298" t="inlineStr">
        <is>
          <t>VÄSTRA GÖTALANDS LÄN</t>
        </is>
      </c>
      <c r="G298" t="inlineStr">
        <is>
          <t>TIDAHOLM</t>
        </is>
      </c>
      <c r="I298" t="n">
        <v>18.8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46263</v>
      </c>
      <c r="F299" t="inlineStr">
        <is>
          <t>VÄSTRA GÖTALANDS LÄN</t>
        </is>
      </c>
      <c r="G299" t="inlineStr">
        <is>
          <t>TIDAHOLM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45358</v>
      </c>
      <c r="E300" s="1" t="n">
        <v>46263</v>
      </c>
      <c r="F300" t="inlineStr">
        <is>
          <t>VÄSTRA GÖTALANDS LÄN</t>
        </is>
      </c>
      <c r="G300" t="inlineStr">
        <is>
          <t>TIDAHOLM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45257</v>
      </c>
      <c r="E301" s="1" t="n">
        <v>46263</v>
      </c>
      <c r="F301" t="inlineStr">
        <is>
          <t>VÄSTRA GÖTALANDS LÄN</t>
        </is>
      </c>
      <c r="G301" t="inlineStr">
        <is>
          <t>TIDAHOLM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45215</v>
      </c>
      <c r="E302" s="1" t="n">
        <v>46263</v>
      </c>
      <c r="F302" t="inlineStr">
        <is>
          <t>VÄSTRA GÖTALANDS LÄN</t>
        </is>
      </c>
      <c r="G302" t="inlineStr">
        <is>
          <t>TIDAHOLM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44720</v>
      </c>
      <c r="E303" s="1" t="n">
        <v>46263</v>
      </c>
      <c r="F303" t="inlineStr">
        <is>
          <t>VÄSTRA GÖTALANDS LÄN</t>
        </is>
      </c>
      <c r="G303" t="inlineStr">
        <is>
          <t>TIDAHOLM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45875</v>
      </c>
      <c r="E304" s="1" t="n">
        <v>46263</v>
      </c>
      <c r="F304" t="inlineStr">
        <is>
          <t>VÄSTRA GÖTALANDS LÄN</t>
        </is>
      </c>
      <c r="G304" t="inlineStr">
        <is>
          <t>TIDAHOLM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18249-2022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44685</v>
      </c>
      <c r="E305" s="1" t="n">
        <v>46263</v>
      </c>
      <c r="F305" t="inlineStr">
        <is>
          <t>VÄSTRA GÖTALANDS LÄN</t>
        </is>
      </c>
      <c r="G305" t="inlineStr">
        <is>
          <t>TIDAHOLM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45752</v>
      </c>
      <c r="E306" s="1" t="n">
        <v>46263</v>
      </c>
      <c r="F306" t="inlineStr">
        <is>
          <t>VÄSTRA GÖTALANDS LÄN</t>
        </is>
      </c>
      <c r="G306" t="inlineStr">
        <is>
          <t>TIDAHOLM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44720</v>
      </c>
      <c r="E307" s="1" t="n">
        <v>46263</v>
      </c>
      <c r="F307" t="inlineStr">
        <is>
          <t>VÄSTRA GÖTALANDS LÄN</t>
        </is>
      </c>
      <c r="G307" t="inlineStr">
        <is>
          <t>TIDAHOLM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10273-2022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44622</v>
      </c>
      <c r="E308" s="1" t="n">
        <v>46263</v>
      </c>
      <c r="F308" t="inlineStr">
        <is>
          <t>VÄSTRA GÖTALANDS LÄN</t>
        </is>
      </c>
      <c r="G308" t="inlineStr">
        <is>
          <t>TIDAHOLM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46263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46263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46263</v>
      </c>
      <c r="F311" t="inlineStr">
        <is>
          <t>VÄSTRA GÖTALANDS LÄN</t>
        </is>
      </c>
      <c r="G311" t="inlineStr">
        <is>
          <t>TIDAHOLM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46263</v>
      </c>
      <c r="F312" t="inlineStr">
        <is>
          <t>VÄSTRA GÖTALANDS LÄN</t>
        </is>
      </c>
      <c r="G312" t="inlineStr">
        <is>
          <t>TIDAHOLM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45847</v>
      </c>
      <c r="E313" s="1" t="n">
        <v>46263</v>
      </c>
      <c r="F313" t="inlineStr">
        <is>
          <t>VÄSTRA GÖTALANDS LÄN</t>
        </is>
      </c>
      <c r="G313" t="inlineStr">
        <is>
          <t>TIDAHOLM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46263</v>
      </c>
      <c r="F314" t="inlineStr">
        <is>
          <t>VÄSTRA GÖTALANDS LÄN</t>
        </is>
      </c>
      <c r="G314" t="inlineStr">
        <is>
          <t>TIDAHOLM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46263</v>
      </c>
      <c r="F315" t="inlineStr">
        <is>
          <t>VÄSTRA GÖTALANDS LÄN</t>
        </is>
      </c>
      <c r="G315" t="inlineStr">
        <is>
          <t>TIDAHOLM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45336</v>
      </c>
      <c r="E316" s="1" t="n">
        <v>46263</v>
      </c>
      <c r="F316" t="inlineStr">
        <is>
          <t>VÄSTRA GÖTALANDS LÄN</t>
        </is>
      </c>
      <c r="G316" t="inlineStr">
        <is>
          <t>TIDAHOLM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44806</v>
      </c>
      <c r="E317" s="1" t="n">
        <v>46263</v>
      </c>
      <c r="F317" t="inlineStr">
        <is>
          <t>VÄSTRA GÖTALANDS LÄN</t>
        </is>
      </c>
      <c r="G317" t="inlineStr">
        <is>
          <t>TIDAHOLM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45311</v>
      </c>
      <c r="E318" s="1" t="n">
        <v>46263</v>
      </c>
      <c r="F318" t="inlineStr">
        <is>
          <t>VÄSTRA GÖTALANDS LÄN</t>
        </is>
      </c>
      <c r="G318" t="inlineStr">
        <is>
          <t>TIDAHOLM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46263</v>
      </c>
      <c r="F319" t="inlineStr">
        <is>
          <t>VÄSTRA GÖTALANDS LÄN</t>
        </is>
      </c>
      <c r="G319" t="inlineStr">
        <is>
          <t>TIDAHOLM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46263</v>
      </c>
      <c r="F320" t="inlineStr">
        <is>
          <t>VÄSTRA GÖTALANDS LÄN</t>
        </is>
      </c>
      <c r="G320" t="inlineStr">
        <is>
          <t>TIDAHOLM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46263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46263</v>
      </c>
      <c r="F322" t="inlineStr">
        <is>
          <t>VÄSTRA GÖTALANDS LÄN</t>
        </is>
      </c>
      <c r="G322" t="inlineStr">
        <is>
          <t>TIDAHOLM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46263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57969-2022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46263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46263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73728-2021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44552</v>
      </c>
      <c r="E326" s="1" t="n">
        <v>46263</v>
      </c>
      <c r="F326" t="inlineStr">
        <is>
          <t>VÄSTRA GÖTALANDS LÄN</t>
        </is>
      </c>
      <c r="G326" t="inlineStr">
        <is>
          <t>TIDAHOLM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61587-2021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46263</v>
      </c>
      <c r="F327" t="inlineStr">
        <is>
          <t>VÄSTRA GÖTALANDS LÄN</t>
        </is>
      </c>
      <c r="G327" t="inlineStr">
        <is>
          <t>TIDAHOLM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44664</v>
      </c>
      <c r="E328" s="1" t="n">
        <v>46263</v>
      </c>
      <c r="F328" t="inlineStr">
        <is>
          <t>VÄSTRA GÖTALANDS LÄN</t>
        </is>
      </c>
      <c r="G328" t="inlineStr">
        <is>
          <t>TIDAHOLM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46263</v>
      </c>
      <c r="F329" t="inlineStr">
        <is>
          <t>VÄSTRA GÖTALANDS LÄN</t>
        </is>
      </c>
      <c r="G329" t="inlineStr">
        <is>
          <t>TIDAHOLM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45016</v>
      </c>
      <c r="E330" s="1" t="n">
        <v>46263</v>
      </c>
      <c r="F330" t="inlineStr">
        <is>
          <t>VÄSTRA GÖTALANDS LÄN</t>
        </is>
      </c>
      <c r="G330" t="inlineStr">
        <is>
          <t>TIDAHOLM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46263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Kyrkan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44719</v>
      </c>
      <c r="E332" s="1" t="n">
        <v>46263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46263</v>
      </c>
      <c r="F333" t="inlineStr">
        <is>
          <t>VÄSTRA GÖTALANDS LÄN</t>
        </is>
      </c>
      <c r="G333" t="inlineStr">
        <is>
          <t>TIDAHOLM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45784</v>
      </c>
      <c r="E334" s="1" t="n">
        <v>46263</v>
      </c>
      <c r="F334" t="inlineStr">
        <is>
          <t>VÄSTRA GÖTALANDS LÄN</t>
        </is>
      </c>
      <c r="G334" t="inlineStr">
        <is>
          <t>TIDAHOLM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46263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46263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45790</v>
      </c>
      <c r="E337" s="1" t="n">
        <v>46263</v>
      </c>
      <c r="F337" t="inlineStr">
        <is>
          <t>VÄSTRA GÖTALANDS LÄN</t>
        </is>
      </c>
      <c r="G337" t="inlineStr">
        <is>
          <t>TIDAHOLM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45462</v>
      </c>
      <c r="E338" s="1" t="n">
        <v>46263</v>
      </c>
      <c r="F338" t="inlineStr">
        <is>
          <t>VÄSTRA GÖTALANDS LÄN</t>
        </is>
      </c>
      <c r="G338" t="inlineStr">
        <is>
          <t>TIDAHOLM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49050-2021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44453</v>
      </c>
      <c r="E339" s="1" t="n">
        <v>46263</v>
      </c>
      <c r="F339" t="inlineStr">
        <is>
          <t>VÄSTRA GÖTALANDS LÄN</t>
        </is>
      </c>
      <c r="G339" t="inlineStr">
        <is>
          <t>TIDAHOLM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44902</v>
      </c>
      <c r="E340" s="1" t="n">
        <v>46263</v>
      </c>
      <c r="F340" t="inlineStr">
        <is>
          <t>VÄSTRA GÖTALANDS LÄN</t>
        </is>
      </c>
      <c r="G340" t="inlineStr">
        <is>
          <t>TIDAHOLM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46263</v>
      </c>
      <c r="F341" t="inlineStr">
        <is>
          <t>VÄSTRA GÖTALANDS LÄN</t>
        </is>
      </c>
      <c r="G341" t="inlineStr">
        <is>
          <t>TIDAHOLM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45425</v>
      </c>
      <c r="E342" s="1" t="n">
        <v>46263</v>
      </c>
      <c r="F342" t="inlineStr">
        <is>
          <t>VÄSTRA GÖTALANDS LÄN</t>
        </is>
      </c>
      <c r="G342" t="inlineStr">
        <is>
          <t>TIDAHOLM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46263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45120</v>
      </c>
      <c r="E344" s="1" t="n">
        <v>46263</v>
      </c>
      <c r="F344" t="inlineStr">
        <is>
          <t>VÄSTRA GÖTALANDS LÄN</t>
        </is>
      </c>
      <c r="G344" t="inlineStr">
        <is>
          <t>TIDAHOLM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46263</v>
      </c>
      <c r="F345" t="inlineStr">
        <is>
          <t>VÄSTRA GÖTALANDS LÄN</t>
        </is>
      </c>
      <c r="G345" t="inlineStr">
        <is>
          <t>TIDAHOLM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46263</v>
      </c>
      <c r="F346" t="inlineStr">
        <is>
          <t>VÄSTRA GÖTALANDS LÄN</t>
        </is>
      </c>
      <c r="G346" t="inlineStr">
        <is>
          <t>TIDAHOLM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46263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Allmännings- och besparingsskogar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45779</v>
      </c>
      <c r="E348" s="1" t="n">
        <v>46263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32670-2023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45121</v>
      </c>
      <c r="E349" s="1" t="n">
        <v>46263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Kommuner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46263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Allmännings- och besparingsskogar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46263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46263</v>
      </c>
      <c r="F352" t="inlineStr">
        <is>
          <t>VÄSTRA GÖTALANDS LÄN</t>
        </is>
      </c>
      <c r="G352" t="inlineStr">
        <is>
          <t>TIDAHOLM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44766</v>
      </c>
      <c r="E353" s="1" t="n">
        <v>46263</v>
      </c>
      <c r="F353" t="inlineStr">
        <is>
          <t>VÄSTRA GÖTALANDS LÄN</t>
        </is>
      </c>
      <c r="G353" t="inlineStr">
        <is>
          <t>TIDAHOLM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45469</v>
      </c>
      <c r="E354" s="1" t="n">
        <v>46263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45404</v>
      </c>
      <c r="E355" s="1" t="n">
        <v>46263</v>
      </c>
      <c r="F355" t="inlineStr">
        <is>
          <t>VÄSTRA GÖTALANDS LÄN</t>
        </is>
      </c>
      <c r="G355" t="inlineStr">
        <is>
          <t>TIDAHOLM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46263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45156</v>
      </c>
      <c r="E357" s="1" t="n">
        <v>46263</v>
      </c>
      <c r="F357" t="inlineStr">
        <is>
          <t>VÄSTRA GÖTALANDS LÄN</t>
        </is>
      </c>
      <c r="G357" t="inlineStr">
        <is>
          <t>TIDAHOLM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45481</v>
      </c>
      <c r="E358" s="1" t="n">
        <v>46263</v>
      </c>
      <c r="F358" t="inlineStr">
        <is>
          <t>VÄSTRA GÖTALANDS LÄN</t>
        </is>
      </c>
      <c r="G358" t="inlineStr">
        <is>
          <t>TIDAHOLM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45105</v>
      </c>
      <c r="E359" s="1" t="n">
        <v>46263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46263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44972</v>
      </c>
      <c r="E361" s="1" t="n">
        <v>46263</v>
      </c>
      <c r="F361" t="inlineStr">
        <is>
          <t>VÄSTRA GÖTALANDS LÄN</t>
        </is>
      </c>
      <c r="G361" t="inlineStr">
        <is>
          <t>TIDAHOLM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45468-2024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45576</v>
      </c>
      <c r="E362" s="1" t="n">
        <v>46263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45580</v>
      </c>
      <c r="E363" s="1" t="n">
        <v>46263</v>
      </c>
      <c r="F363" t="inlineStr">
        <is>
          <t>VÄSTRA GÖTALANDS LÄN</t>
        </is>
      </c>
      <c r="G363" t="inlineStr">
        <is>
          <t>TIDAHOLM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46263</v>
      </c>
      <c r="F364" t="inlineStr">
        <is>
          <t>VÄSTRA GÖTALANDS LÄN</t>
        </is>
      </c>
      <c r="G364" t="inlineStr">
        <is>
          <t>TIDAHOLM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46263</v>
      </c>
      <c r="F365" t="inlineStr">
        <is>
          <t>VÄSTRA GÖTALANDS LÄN</t>
        </is>
      </c>
      <c r="G365" t="inlineStr">
        <is>
          <t>TIDAHOLM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46263</v>
      </c>
      <c r="F366" t="inlineStr">
        <is>
          <t>VÄSTRA GÖTALANDS LÄN</t>
        </is>
      </c>
      <c r="G366" t="inlineStr">
        <is>
          <t>TIDAHOLM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45358</v>
      </c>
      <c r="E367" s="1" t="n">
        <v>46263</v>
      </c>
      <c r="F367" t="inlineStr">
        <is>
          <t>VÄSTRA GÖTALANDS LÄN</t>
        </is>
      </c>
      <c r="G367" t="inlineStr">
        <is>
          <t>TIDAHOLM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46263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59139-2024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45637</v>
      </c>
      <c r="E369" s="1" t="n">
        <v>46263</v>
      </c>
      <c r="F369" t="inlineStr">
        <is>
          <t>VÄSTRA GÖTALANDS LÄN</t>
        </is>
      </c>
      <c r="G369" t="inlineStr">
        <is>
          <t>TIDAHOLM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45392</v>
      </c>
      <c r="E370" s="1" t="n">
        <v>46263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45814</v>
      </c>
      <c r="E371" s="1" t="n">
        <v>46263</v>
      </c>
      <c r="F371" t="inlineStr">
        <is>
          <t>VÄSTRA GÖTALANDS LÄN</t>
        </is>
      </c>
      <c r="G371" t="inlineStr">
        <is>
          <t>TIDAHOLM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46263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46263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46263</v>
      </c>
      <c r="F374" t="inlineStr">
        <is>
          <t>VÄSTRA GÖTALANDS LÄN</t>
        </is>
      </c>
      <c r="G374" t="inlineStr">
        <is>
          <t>TIDAHOLM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46263</v>
      </c>
      <c r="F375" t="inlineStr">
        <is>
          <t>VÄSTRA GÖTALANDS LÄN</t>
        </is>
      </c>
      <c r="G375" t="inlineStr">
        <is>
          <t>TIDAHOLM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46263</v>
      </c>
      <c r="F376" t="inlineStr">
        <is>
          <t>VÄSTRA GÖTALANDS LÄN</t>
        </is>
      </c>
      <c r="G376" t="inlineStr">
        <is>
          <t>TIDAHOLM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46263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46263</v>
      </c>
      <c r="F378" t="inlineStr">
        <is>
          <t>VÄSTRA GÖTALANDS LÄN</t>
        </is>
      </c>
      <c r="G378" t="inlineStr">
        <is>
          <t>TIDAHOLM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26017-2026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46263</v>
      </c>
      <c r="F379" t="inlineStr">
        <is>
          <t>VÄSTRA GÖTALANDS LÄN</t>
        </is>
      </c>
      <c r="G379" t="inlineStr">
        <is>
          <t>TIDAHOLM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46263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Kyrkan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46263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Kyrkan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46263</v>
      </c>
      <c r="F382" t="inlineStr">
        <is>
          <t>VÄSTRA GÖTALANDS LÄN</t>
        </is>
      </c>
      <c r="G382" t="inlineStr">
        <is>
          <t>TIDAHOLM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46014</v>
      </c>
      <c r="E383" s="1" t="n">
        <v>46263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Kommuner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46263</v>
      </c>
      <c r="F384" t="inlineStr">
        <is>
          <t>VÄSTRA GÖTALANDS LÄN</t>
        </is>
      </c>
      <c r="G384" t="inlineStr">
        <is>
          <t>TIDAHOLM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46251</v>
      </c>
      <c r="E385" s="1" t="n">
        <v>46263</v>
      </c>
      <c r="F385" t="inlineStr">
        <is>
          <t>VÄSTRA GÖTALANDS LÄN</t>
        </is>
      </c>
      <c r="G385" t="inlineStr">
        <is>
          <t>TIDAHOLM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46254</v>
      </c>
      <c r="E386" s="1" t="n">
        <v>46263</v>
      </c>
      <c r="F386" t="inlineStr">
        <is>
          <t>VÄSTRA GÖTALANDS LÄN</t>
        </is>
      </c>
      <c r="G386" t="inlineStr">
        <is>
          <t>TIDAHOLM</t>
        </is>
      </c>
      <c r="I386" t="n">
        <v>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54113-2022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46263</v>
      </c>
      <c r="F387" t="inlineStr">
        <is>
          <t>VÄSTRA GÖTALANDS LÄN</t>
        </is>
      </c>
      <c r="G387" t="inlineStr">
        <is>
          <t>TIDAHOLM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46263</v>
      </c>
      <c r="F388" t="inlineStr">
        <is>
          <t>VÄSTRA GÖTALANDS LÄN</t>
        </is>
      </c>
      <c r="G388" t="inlineStr">
        <is>
          <t>TIDAHOLM</t>
        </is>
      </c>
      <c r="I388" t="n">
        <v>16.2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46263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46263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46263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46263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2026-08-29T01:53:20Z</dcterms:created>
  <dcterms:modified xmlns:dcterms="http://purl.org/dc/terms/" xmlns:xsi="http://www.w3.org/2001/XMLSchema-instance" xsi:type="dcterms:W3CDTF">2026-08-29T01:53:20Z</dcterms:modified>
</cp:coreProperties>
</file>