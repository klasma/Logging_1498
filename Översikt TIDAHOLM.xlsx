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46256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46256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46256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46256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46256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46256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46256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41346-2025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45899</v>
      </c>
      <c r="E16" s="1" t="n">
        <v>46256</v>
      </c>
      <c r="F16" t="inlineStr">
        <is>
          <t>VÄSTRA GÖTALANDS LÄN</t>
        </is>
      </c>
      <c r="G16" t="inlineStr">
        <is>
          <t>TIDAHOLM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HYPERLINK("https://klasma.github.io/Logging_1498/artfynd/A 41346-2025 artfynd.xlsx", "A 41346-2025")</f>
        <v/>
      </c>
      <c r="X16">
        <f>HYPERLINK("https://klasma.github.io/Logging_1498/kartor/A 41346-2025 karta.png", "A 41346-2025")</f>
        <v/>
      </c>
      <c r="Y16">
        <f>HYPERLINK("https://klasma.github.io/Logging_1498/kartor_geotiff/A 41346-2025 georefererad karta.tif", "A 41346-2025")</f>
        <v/>
      </c>
      <c r="AA16">
        <f>HYPERLINK("https://klasma.github.io/Logging_1498/klagomål/A 41346-2025 FSC-klagomål.docx", "A 41346-2025")</f>
        <v/>
      </c>
      <c r="AB16">
        <f>HYPERLINK("https://klasma.github.io/Logging_1498/klagomålsmail/A 41346-2025 FSC-klagomål mail.docx", "A 41346-2025")</f>
        <v/>
      </c>
      <c r="AC16">
        <f>HYPERLINK("https://klasma.github.io/Logging_1498/tillsyn/A 41346-2025 tillsynsbegäran.docx", "A 41346-2025")</f>
        <v/>
      </c>
      <c r="AD16">
        <f>HYPERLINK("https://klasma.github.io/Logging_1498/tillsynsmail/A 41346-2025 tillsynsbegäran mail.docx", "A 41346-2025")</f>
        <v/>
      </c>
    </row>
    <row r="17" ht="15" customHeight="1">
      <c r="A17" t="inlineStr">
        <is>
          <t>A 46247-2025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46256</v>
      </c>
      <c r="F17" t="inlineStr">
        <is>
          <t>VÄSTRA GÖTALANDS LÄN</t>
        </is>
      </c>
      <c r="G17" t="inlineStr">
        <is>
          <t>TIDAHOLM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HYPERLINK("https://klasma.github.io/Logging_1498/artfynd/A 46247-2025 artfynd.xlsx", "A 46247-2025")</f>
        <v/>
      </c>
      <c r="X17">
        <f>HYPERLINK("https://klasma.github.io/Logging_1498/kartor/A 46247-2025 karta.png", "A 46247-2025")</f>
        <v/>
      </c>
      <c r="Y17">
        <f>HYPERLINK("https://klasma.github.io/Logging_1498/kartor_geotiff/A 46247-2025 georefererad karta.tif", "A 46247-2025")</f>
        <v/>
      </c>
      <c r="AA17">
        <f>HYPERLINK("https://klasma.github.io/Logging_1498/klagomål/A 46247-2025 FSC-klagomål.docx", "A 46247-2025")</f>
        <v/>
      </c>
      <c r="AB17">
        <f>HYPERLINK("https://klasma.github.io/Logging_1498/klagomålsmail/A 46247-2025 FSC-klagomål mail.docx", "A 46247-2025")</f>
        <v/>
      </c>
      <c r="AC17">
        <f>HYPERLINK("https://klasma.github.io/Logging_1498/tillsyn/A 46247-2025 tillsynsbegäran.docx", "A 46247-2025")</f>
        <v/>
      </c>
      <c r="AD17">
        <f>HYPERLINK("https://klasma.github.io/Logging_1498/tillsynsmail/A 46247-2025 tillsynsbegäran mail.docx", "A 46247-2025")</f>
        <v/>
      </c>
    </row>
    <row r="18" ht="15" customHeight="1">
      <c r="A18" t="inlineStr">
        <is>
          <t>A 57539-2023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46256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1.7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HYPERLINK("https://klasma.github.io/Logging_1498/artfynd/A 57539-2023 artfynd.xlsx", "A 57539-2023")</f>
        <v/>
      </c>
      <c r="X18">
        <f>HYPERLINK("https://klasma.github.io/Logging_1498/kartor/A 57539-2023 karta.png", "A 57539-2023")</f>
        <v/>
      </c>
      <c r="Y18">
        <f>HYPERLINK("https://klasma.github.io/Logging_1498/kartor_geotiff/A 57539-2023 georefererad karta.tif", "A 57539-2023")</f>
        <v/>
      </c>
      <c r="AA18">
        <f>HYPERLINK("https://klasma.github.io/Logging_1498/klagomål/A 57539-2023 FSC-klagomål.docx", "A 57539-2023")</f>
        <v/>
      </c>
      <c r="AB18">
        <f>HYPERLINK("https://klasma.github.io/Logging_1498/klagomålsmail/A 57539-2023 FSC-klagomål mail.docx", "A 57539-2023")</f>
        <v/>
      </c>
      <c r="AC18">
        <f>HYPERLINK("https://klasma.github.io/Logging_1498/tillsyn/A 57539-2023 tillsynsbegäran.docx", "A 57539-2023")</f>
        <v/>
      </c>
      <c r="AD18">
        <f>HYPERLINK("https://klasma.github.io/Logging_1498/tillsynsmail/A 57539-2023 tillsynsbegäran mail.docx", "A 57539-2023")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46256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46256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46256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46256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46256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46256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46256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46256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46256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46256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46256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46256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46256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46256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46256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46256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46256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46256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46256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46256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46256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46256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46256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46256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46256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46256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46256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46256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46256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46256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46256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46256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46256</v>
      </c>
      <c r="F52" t="inlineStr">
        <is>
          <t>VÄSTRA GÖTALANDS LÄN</t>
        </is>
      </c>
      <c r="G52" t="inlineStr">
        <is>
          <t>TIDAHOLM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46256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46256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46256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46256</v>
      </c>
      <c r="F56" t="inlineStr">
        <is>
          <t>VÄSTRA GÖTALANDS LÄN</t>
        </is>
      </c>
      <c r="G56" t="inlineStr">
        <is>
          <t>TIDAHOLM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46256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46256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46256</v>
      </c>
      <c r="F59" t="inlineStr">
        <is>
          <t>VÄSTRA GÖTALANDS LÄN</t>
        </is>
      </c>
      <c r="G59" t="inlineStr">
        <is>
          <t>TIDAHOLM</t>
        </is>
      </c>
      <c r="H59" t="inlineStr">
        <is>
          <t>Kyrkan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46256</v>
      </c>
      <c r="F60" t="inlineStr">
        <is>
          <t>VÄSTRA GÖTALANDS LÄN</t>
        </is>
      </c>
      <c r="G60" t="inlineStr">
        <is>
          <t>TIDAHOLM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46256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46256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46256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46256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46256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46256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46256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46256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46256</v>
      </c>
      <c r="F69" t="inlineStr">
        <is>
          <t>VÄSTRA GÖTALANDS LÄN</t>
        </is>
      </c>
      <c r="G69" t="inlineStr">
        <is>
          <t>TIDAHOLM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46256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46256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44456</v>
      </c>
      <c r="E72" s="1" t="n">
        <v>46256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46256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46256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46256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44945</v>
      </c>
      <c r="E76" s="1" t="n">
        <v>46256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46256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46256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46256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45556</v>
      </c>
      <c r="E80" s="1" t="n">
        <v>46256</v>
      </c>
      <c r="F80" t="inlineStr">
        <is>
          <t>VÄSTRA GÖTALANDS LÄN</t>
        </is>
      </c>
      <c r="G80" t="inlineStr">
        <is>
          <t>TIDAHOLM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46256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46256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46256</v>
      </c>
      <c r="F83" t="inlineStr">
        <is>
          <t>VÄSTRA GÖTALANDS LÄN</t>
        </is>
      </c>
      <c r="G83" t="inlineStr">
        <is>
          <t>TIDAHOLM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46256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45669</v>
      </c>
      <c r="E85" s="1" t="n">
        <v>46256</v>
      </c>
      <c r="F85" t="inlineStr">
        <is>
          <t>VÄSTRA GÖTALANDS LÄN</t>
        </is>
      </c>
      <c r="G85" t="inlineStr">
        <is>
          <t>TIDAHOLM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45170</v>
      </c>
      <c r="E86" s="1" t="n">
        <v>46256</v>
      </c>
      <c r="F86" t="inlineStr">
        <is>
          <t>VÄSTRA GÖTALANDS LÄN</t>
        </is>
      </c>
      <c r="G86" t="inlineStr">
        <is>
          <t>TIDAHOLM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46256</v>
      </c>
      <c r="F87" t="inlineStr">
        <is>
          <t>VÄSTRA GÖTALANDS LÄN</t>
        </is>
      </c>
      <c r="G87" t="inlineStr">
        <is>
          <t>TIDAHOLM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44997</v>
      </c>
      <c r="E88" s="1" t="n">
        <v>46256</v>
      </c>
      <c r="F88" t="inlineStr">
        <is>
          <t>VÄSTRA GÖTALANDS LÄN</t>
        </is>
      </c>
      <c r="G88" t="inlineStr">
        <is>
          <t>TIDAHOLM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32591-2022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44783</v>
      </c>
      <c r="E89" s="1" t="n">
        <v>46256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46256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46256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46256</v>
      </c>
      <c r="F92" t="inlineStr">
        <is>
          <t>VÄSTRA GÖTALANDS LÄN</t>
        </is>
      </c>
      <c r="G92" t="inlineStr">
        <is>
          <t>TIDAHOLM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46256</v>
      </c>
      <c r="F93" t="inlineStr">
        <is>
          <t>VÄSTRA GÖTALANDS LÄN</t>
        </is>
      </c>
      <c r="G93" t="inlineStr">
        <is>
          <t>TIDAHOLM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54298-2023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45232</v>
      </c>
      <c r="E94" s="1" t="n">
        <v>46256</v>
      </c>
      <c r="F94" t="inlineStr">
        <is>
          <t>VÄSTRA GÖTALANDS LÄN</t>
        </is>
      </c>
      <c r="G94" t="inlineStr">
        <is>
          <t>TIDAHOLM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45818</v>
      </c>
      <c r="E95" s="1" t="n">
        <v>46256</v>
      </c>
      <c r="F95" t="inlineStr">
        <is>
          <t>VÄSTRA GÖTALANDS LÄN</t>
        </is>
      </c>
      <c r="G95" t="inlineStr">
        <is>
          <t>TIDAHOLM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46256</v>
      </c>
      <c r="F96" t="inlineStr">
        <is>
          <t>VÄSTRA GÖTALANDS LÄN</t>
        </is>
      </c>
      <c r="G96" t="inlineStr">
        <is>
          <t>TIDAHOLM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46256</v>
      </c>
      <c r="F97" t="inlineStr">
        <is>
          <t>VÄSTRA GÖTALANDS LÄN</t>
        </is>
      </c>
      <c r="G97" t="inlineStr">
        <is>
          <t>TIDAHOLM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46256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36194-2024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45534</v>
      </c>
      <c r="E99" s="1" t="n">
        <v>46256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Allmännings- och besparingsskogar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46256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25110-2024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45462</v>
      </c>
      <c r="E101" s="1" t="n">
        <v>46256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18596-2024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45425</v>
      </c>
      <c r="E102" s="1" t="n">
        <v>46256</v>
      </c>
      <c r="F102" t="inlineStr">
        <is>
          <t>VÄSTRA GÖTALANDS LÄN</t>
        </is>
      </c>
      <c r="G102" t="inlineStr">
        <is>
          <t>TIDAHOLM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44693</v>
      </c>
      <c r="E103" s="1" t="n">
        <v>46256</v>
      </c>
      <c r="F103" t="inlineStr">
        <is>
          <t>VÄSTRA GÖTALANDS LÄN</t>
        </is>
      </c>
      <c r="G103" t="inlineStr">
        <is>
          <t>TIDAHOLM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74340-2021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46256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46256</v>
      </c>
      <c r="F105" t="inlineStr">
        <is>
          <t>VÄSTRA GÖTALANDS LÄN</t>
        </is>
      </c>
      <c r="G105" t="inlineStr">
        <is>
          <t>TIDAHOLM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46256</v>
      </c>
      <c r="F106" t="inlineStr">
        <is>
          <t>VÄSTRA GÖTALANDS LÄN</t>
        </is>
      </c>
      <c r="G106" t="inlineStr">
        <is>
          <t>TIDAHOLM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45899</v>
      </c>
      <c r="E107" s="1" t="n">
        <v>46256</v>
      </c>
      <c r="F107" t="inlineStr">
        <is>
          <t>VÄSTRA GÖTALANDS LÄN</t>
        </is>
      </c>
      <c r="G107" t="inlineStr">
        <is>
          <t>TIDAHOLM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46256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45006</v>
      </c>
      <c r="E109" s="1" t="n">
        <v>46256</v>
      </c>
      <c r="F109" t="inlineStr">
        <is>
          <t>VÄSTRA GÖTALANDS LÄN</t>
        </is>
      </c>
      <c r="G109" t="inlineStr">
        <is>
          <t>TIDAHOLM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57576-2024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46256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46256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46256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46256</v>
      </c>
      <c r="F113" t="inlineStr">
        <is>
          <t>VÄSTRA GÖTALANDS LÄN</t>
        </is>
      </c>
      <c r="G113" t="inlineStr">
        <is>
          <t>TIDAHOLM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46256</v>
      </c>
      <c r="F114" t="inlineStr">
        <is>
          <t>VÄSTRA GÖTALANDS LÄN</t>
        </is>
      </c>
      <c r="G114" t="inlineStr">
        <is>
          <t>TIDAHOLM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46256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46256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46256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46256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46256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46256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46256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46256</v>
      </c>
      <c r="F122" t="inlineStr">
        <is>
          <t>VÄSTRA GÖTALANDS LÄN</t>
        </is>
      </c>
      <c r="G122" t="inlineStr">
        <is>
          <t>TIDAHOLM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46256</v>
      </c>
      <c r="F123" t="inlineStr">
        <is>
          <t>VÄSTRA GÖTALANDS LÄN</t>
        </is>
      </c>
      <c r="G123" t="inlineStr">
        <is>
          <t>TIDAHOLM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46256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46256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46256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46256</v>
      </c>
      <c r="F127" t="inlineStr">
        <is>
          <t>VÄSTRA GÖTALANDS LÄN</t>
        </is>
      </c>
      <c r="G127" t="inlineStr">
        <is>
          <t>TIDAHOLM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46256</v>
      </c>
      <c r="F128" t="inlineStr">
        <is>
          <t>VÄSTRA GÖTALANDS LÄN</t>
        </is>
      </c>
      <c r="G128" t="inlineStr">
        <is>
          <t>TIDAHOLM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46256</v>
      </c>
      <c r="F129" t="inlineStr">
        <is>
          <t>VÄSTRA GÖTALANDS LÄN</t>
        </is>
      </c>
      <c r="G129" t="inlineStr">
        <is>
          <t>TIDAHOLM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46256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46256</v>
      </c>
      <c r="F131" t="inlineStr">
        <is>
          <t>VÄSTRA GÖTALANDS LÄN</t>
        </is>
      </c>
      <c r="G131" t="inlineStr">
        <is>
          <t>TIDAHOLM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46256</v>
      </c>
      <c r="F132" t="inlineStr">
        <is>
          <t>VÄSTRA GÖTALANDS LÄN</t>
        </is>
      </c>
      <c r="G132" t="inlineStr">
        <is>
          <t>TIDAHOLM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44610</v>
      </c>
      <c r="E133" s="1" t="n">
        <v>46256</v>
      </c>
      <c r="F133" t="inlineStr">
        <is>
          <t>VÄSTRA GÖTALANDS LÄN</t>
        </is>
      </c>
      <c r="G133" t="inlineStr">
        <is>
          <t>TIDAHOLM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46256</v>
      </c>
      <c r="F134" t="inlineStr">
        <is>
          <t>VÄSTRA GÖTALANDS LÄN</t>
        </is>
      </c>
      <c r="G134" t="inlineStr">
        <is>
          <t>TIDAHOLM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45784</v>
      </c>
      <c r="E135" s="1" t="n">
        <v>46256</v>
      </c>
      <c r="F135" t="inlineStr">
        <is>
          <t>VÄSTRA GÖTALANDS LÄN</t>
        </is>
      </c>
      <c r="G135" t="inlineStr">
        <is>
          <t>TIDAHOLM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45477</v>
      </c>
      <c r="E136" s="1" t="n">
        <v>46256</v>
      </c>
      <c r="F136" t="inlineStr">
        <is>
          <t>VÄSTRA GÖTALANDS LÄN</t>
        </is>
      </c>
      <c r="G136" t="inlineStr">
        <is>
          <t>TIDAHOLM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46256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46256</v>
      </c>
      <c r="F138" t="inlineStr">
        <is>
          <t>VÄSTRA GÖTALANDS LÄN</t>
        </is>
      </c>
      <c r="G138" t="inlineStr">
        <is>
          <t>TIDAHOLM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45576</v>
      </c>
      <c r="E139" s="1" t="n">
        <v>46256</v>
      </c>
      <c r="F139" t="inlineStr">
        <is>
          <t>VÄSTRA GÖTALANDS LÄN</t>
        </is>
      </c>
      <c r="G139" t="inlineStr">
        <is>
          <t>TIDAHOLM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46256</v>
      </c>
      <c r="F140" t="inlineStr">
        <is>
          <t>VÄSTRA GÖTALANDS LÄN</t>
        </is>
      </c>
      <c r="G140" t="inlineStr">
        <is>
          <t>TIDAHOLM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45474</v>
      </c>
      <c r="E141" s="1" t="n">
        <v>46256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32670-2023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45121</v>
      </c>
      <c r="E142" s="1" t="n">
        <v>46256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45016</v>
      </c>
      <c r="E143" s="1" t="n">
        <v>46256</v>
      </c>
      <c r="F143" t="inlineStr">
        <is>
          <t>VÄSTRA GÖTALANDS LÄN</t>
        </is>
      </c>
      <c r="G143" t="inlineStr">
        <is>
          <t>TIDAHOLM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46256</v>
      </c>
      <c r="F144" t="inlineStr">
        <is>
          <t>VÄSTRA GÖTALANDS LÄN</t>
        </is>
      </c>
      <c r="G144" t="inlineStr">
        <is>
          <t>TIDAHOLM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46256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47370-2025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45930</v>
      </c>
      <c r="E146" s="1" t="n">
        <v>46256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46256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45580</v>
      </c>
      <c r="E148" s="1" t="n">
        <v>46256</v>
      </c>
      <c r="F148" t="inlineStr">
        <is>
          <t>VÄSTRA GÖTALANDS LÄN</t>
        </is>
      </c>
      <c r="G148" t="inlineStr">
        <is>
          <t>TIDAHOLM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46256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46256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46256</v>
      </c>
      <c r="F151" t="inlineStr">
        <is>
          <t>VÄSTRA GÖTALANDS LÄN</t>
        </is>
      </c>
      <c r="G151" t="inlineStr">
        <is>
          <t>TIDAHOLM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46256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46256</v>
      </c>
      <c r="F153" t="inlineStr">
        <is>
          <t>VÄSTRA GÖTALANDS LÄN</t>
        </is>
      </c>
      <c r="G153" t="inlineStr">
        <is>
          <t>TIDAHOLM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45709</v>
      </c>
      <c r="E154" s="1" t="n">
        <v>46256</v>
      </c>
      <c r="F154" t="inlineStr">
        <is>
          <t>VÄSTRA GÖTALANDS LÄN</t>
        </is>
      </c>
      <c r="G154" t="inlineStr">
        <is>
          <t>TIDAHOLM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46256</v>
      </c>
      <c r="F155" t="inlineStr">
        <is>
          <t>VÄSTRA GÖTALANDS LÄN</t>
        </is>
      </c>
      <c r="G155" t="inlineStr">
        <is>
          <t>TIDAHOLM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45358</v>
      </c>
      <c r="E156" s="1" t="n">
        <v>46256</v>
      </c>
      <c r="F156" t="inlineStr">
        <is>
          <t>VÄSTRA GÖTALANDS LÄN</t>
        </is>
      </c>
      <c r="G156" t="inlineStr">
        <is>
          <t>TIDAHOLM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46256</v>
      </c>
      <c r="F157" t="inlineStr">
        <is>
          <t>VÄSTRA GÖTALANDS LÄN</t>
        </is>
      </c>
      <c r="G157" t="inlineStr">
        <is>
          <t>TIDAHOLM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46256</v>
      </c>
      <c r="F158" t="inlineStr">
        <is>
          <t>VÄSTRA GÖTALANDS LÄN</t>
        </is>
      </c>
      <c r="G158" t="inlineStr">
        <is>
          <t>TIDAHOLM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46256</v>
      </c>
      <c r="F159" t="inlineStr">
        <is>
          <t>VÄSTRA GÖTALANDS LÄN</t>
        </is>
      </c>
      <c r="G159" t="inlineStr">
        <is>
          <t>TIDAHOLM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46256</v>
      </c>
      <c r="F160" t="inlineStr">
        <is>
          <t>VÄSTRA GÖTALANDS LÄN</t>
        </is>
      </c>
      <c r="G160" t="inlineStr">
        <is>
          <t>TIDAHOLM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49114-2022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46256</v>
      </c>
      <c r="F161" t="inlineStr">
        <is>
          <t>VÄSTRA GÖTALANDS LÄN</t>
        </is>
      </c>
      <c r="G161" t="inlineStr">
        <is>
          <t>TIDAHOLM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46256</v>
      </c>
      <c r="F162" t="inlineStr">
        <is>
          <t>VÄSTRA GÖTALANDS LÄN</t>
        </is>
      </c>
      <c r="G162" t="inlineStr">
        <is>
          <t>TIDAHOLM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46256</v>
      </c>
      <c r="F163" t="inlineStr">
        <is>
          <t>VÄSTRA GÖTALANDS LÄN</t>
        </is>
      </c>
      <c r="G163" t="inlineStr">
        <is>
          <t>TIDAHOLM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46256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45232</v>
      </c>
      <c r="E165" s="1" t="n">
        <v>46256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Kyrkan</t>
        </is>
      </c>
      <c r="I165" t="n">
        <v>22.5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46256</v>
      </c>
      <c r="F166" t="inlineStr">
        <is>
          <t>VÄSTRA GÖTALANDS LÄN</t>
        </is>
      </c>
      <c r="G166" t="inlineStr">
        <is>
          <t>TIDAHOLM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18095-2024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45420</v>
      </c>
      <c r="E167" s="1" t="n">
        <v>46256</v>
      </c>
      <c r="F167" t="inlineStr">
        <is>
          <t>VÄSTRA GÖTALANDS LÄN</t>
        </is>
      </c>
      <c r="G167" t="inlineStr">
        <is>
          <t>TIDAHOLM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46256</v>
      </c>
      <c r="F168" t="inlineStr">
        <is>
          <t>VÄSTRA GÖTALANDS LÄN</t>
        </is>
      </c>
      <c r="G168" t="inlineStr">
        <is>
          <t>TIDAHOLM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46256</v>
      </c>
      <c r="F169" t="inlineStr">
        <is>
          <t>VÄSTRA GÖTALANDS LÄN</t>
        </is>
      </c>
      <c r="G169" t="inlineStr">
        <is>
          <t>TIDAHOLM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46256</v>
      </c>
      <c r="F170" t="inlineStr">
        <is>
          <t>VÄSTRA GÖTALANDS LÄN</t>
        </is>
      </c>
      <c r="G170" t="inlineStr">
        <is>
          <t>TIDAHOLM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46256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45335</v>
      </c>
      <c r="E172" s="1" t="n">
        <v>46256</v>
      </c>
      <c r="F172" t="inlineStr">
        <is>
          <t>VÄSTRA GÖTALANDS LÄN</t>
        </is>
      </c>
      <c r="G172" t="inlineStr">
        <is>
          <t>TIDAHOLM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46256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45469</v>
      </c>
      <c r="E174" s="1" t="n">
        <v>46256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45469</v>
      </c>
      <c r="E175" s="1" t="n">
        <v>46256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68631-2021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44529</v>
      </c>
      <c r="E176" s="1" t="n">
        <v>46256</v>
      </c>
      <c r="F176" t="inlineStr">
        <is>
          <t>VÄSTRA GÖTALANDS LÄN</t>
        </is>
      </c>
      <c r="G176" t="inlineStr">
        <is>
          <t>TIDAHOLM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46256</v>
      </c>
      <c r="F177" t="inlineStr">
        <is>
          <t>VÄSTRA GÖTALANDS LÄN</t>
        </is>
      </c>
      <c r="G177" t="inlineStr">
        <is>
          <t>TIDAHOLM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46256</v>
      </c>
      <c r="F178" t="inlineStr">
        <is>
          <t>VÄSTRA GÖTALANDS LÄN</t>
        </is>
      </c>
      <c r="G178" t="inlineStr">
        <is>
          <t>TIDAHOLM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46256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37070-2022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44806</v>
      </c>
      <c r="E180" s="1" t="n">
        <v>46256</v>
      </c>
      <c r="F180" t="inlineStr">
        <is>
          <t>VÄSTRA GÖTALANDS LÄN</t>
        </is>
      </c>
      <c r="G180" t="inlineStr">
        <is>
          <t>TIDAHOLM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49865-2024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45596</v>
      </c>
      <c r="E181" s="1" t="n">
        <v>46256</v>
      </c>
      <c r="F181" t="inlineStr">
        <is>
          <t>VÄSTRA GÖTALANDS LÄN</t>
        </is>
      </c>
      <c r="G181" t="inlineStr">
        <is>
          <t>TIDAHOLM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46256</v>
      </c>
      <c r="F182" t="inlineStr">
        <is>
          <t>VÄSTRA GÖTALANDS LÄN</t>
        </is>
      </c>
      <c r="G182" t="inlineStr">
        <is>
          <t>TIDAHOLM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46256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46256</v>
      </c>
      <c r="F184" t="inlineStr">
        <is>
          <t>VÄSTRA GÖTALANDS LÄN</t>
        </is>
      </c>
      <c r="G184" t="inlineStr">
        <is>
          <t>TIDAHOLM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46256</v>
      </c>
      <c r="F185" t="inlineStr">
        <is>
          <t>VÄSTRA GÖTALANDS LÄN</t>
        </is>
      </c>
      <c r="G185" t="inlineStr">
        <is>
          <t>TIDAHOLM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46256</v>
      </c>
      <c r="F186" t="inlineStr">
        <is>
          <t>VÄSTRA GÖTALANDS LÄN</t>
        </is>
      </c>
      <c r="G186" t="inlineStr">
        <is>
          <t>TIDAHOLM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46256</v>
      </c>
      <c r="F187" t="inlineStr">
        <is>
          <t>VÄSTRA GÖTALANDS LÄN</t>
        </is>
      </c>
      <c r="G187" t="inlineStr">
        <is>
          <t>TIDAHOLM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46256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46256</v>
      </c>
      <c r="F189" t="inlineStr">
        <is>
          <t>VÄSTRA GÖTALANDS LÄN</t>
        </is>
      </c>
      <c r="G189" t="inlineStr">
        <is>
          <t>TIDAHOLM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60645-2022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44911</v>
      </c>
      <c r="E190" s="1" t="n">
        <v>46256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46256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46256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45779</v>
      </c>
      <c r="E193" s="1" t="n">
        <v>46256</v>
      </c>
      <c r="F193" t="inlineStr">
        <is>
          <t>VÄSTRA GÖTALANDS LÄN</t>
        </is>
      </c>
      <c r="G193" t="inlineStr">
        <is>
          <t>TIDAHOLM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46256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46256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46256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46256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46256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45669</v>
      </c>
      <c r="E199" s="1" t="n">
        <v>46256</v>
      </c>
      <c r="F199" t="inlineStr">
        <is>
          <t>VÄSTRA GÖTALANDS LÄN</t>
        </is>
      </c>
      <c r="G199" t="inlineStr">
        <is>
          <t>TIDAHOLM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46256</v>
      </c>
      <c r="F200" t="inlineStr">
        <is>
          <t>VÄSTRA GÖTALANDS LÄN</t>
        </is>
      </c>
      <c r="G200" t="inlineStr">
        <is>
          <t>TIDAHOLM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46256</v>
      </c>
      <c r="F201" t="inlineStr">
        <is>
          <t>VÄSTRA GÖTALANDS LÄN</t>
        </is>
      </c>
      <c r="G201" t="inlineStr">
        <is>
          <t>TIDAHOLM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46256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46256</v>
      </c>
      <c r="F203" t="inlineStr">
        <is>
          <t>VÄSTRA GÖTALANDS LÄN</t>
        </is>
      </c>
      <c r="G203" t="inlineStr">
        <is>
          <t>TIDAHOLM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44636</v>
      </c>
      <c r="E204" s="1" t="n">
        <v>46256</v>
      </c>
      <c r="F204" t="inlineStr">
        <is>
          <t>VÄSTRA GÖTALANDS LÄN</t>
        </is>
      </c>
      <c r="G204" t="inlineStr">
        <is>
          <t>TIDAHOLM</t>
        </is>
      </c>
      <c r="I204" t="n">
        <v>18.8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46256</v>
      </c>
      <c r="F205" t="inlineStr">
        <is>
          <t>VÄSTRA GÖTALANDS LÄN</t>
        </is>
      </c>
      <c r="G205" t="inlineStr">
        <is>
          <t>TIDAHOLM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45740</v>
      </c>
      <c r="E206" s="1" t="n">
        <v>46256</v>
      </c>
      <c r="F206" t="inlineStr">
        <is>
          <t>VÄSTRA GÖTALANDS LÄN</t>
        </is>
      </c>
      <c r="G206" t="inlineStr">
        <is>
          <t>TIDAHOLM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46256</v>
      </c>
      <c r="F207" t="inlineStr">
        <is>
          <t>VÄSTRA GÖTALANDS LÄN</t>
        </is>
      </c>
      <c r="G207" t="inlineStr">
        <is>
          <t>TIDAHOLM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46256</v>
      </c>
      <c r="F208" t="inlineStr">
        <is>
          <t>VÄSTRA GÖTALANDS LÄN</t>
        </is>
      </c>
      <c r="G208" t="inlineStr">
        <is>
          <t>TIDAHOLM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46256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35479-2023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45146</v>
      </c>
      <c r="E210" s="1" t="n">
        <v>46256</v>
      </c>
      <c r="F210" t="inlineStr">
        <is>
          <t>VÄSTRA GÖTALANDS LÄN</t>
        </is>
      </c>
      <c r="G210" t="inlineStr">
        <is>
          <t>TIDAHOLM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45530</v>
      </c>
      <c r="E211" s="1" t="n">
        <v>46256</v>
      </c>
      <c r="F211" t="inlineStr">
        <is>
          <t>VÄSTRA GÖTALANDS LÄN</t>
        </is>
      </c>
      <c r="G211" t="inlineStr">
        <is>
          <t>TIDAHOLM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46256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46256</v>
      </c>
      <c r="F213" t="inlineStr">
        <is>
          <t>VÄSTRA GÖTALANDS LÄN</t>
        </is>
      </c>
      <c r="G213" t="inlineStr">
        <is>
          <t>TIDAHOLM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44910</v>
      </c>
      <c r="E214" s="1" t="n">
        <v>46256</v>
      </c>
      <c r="F214" t="inlineStr">
        <is>
          <t>VÄSTRA GÖTALANDS LÄN</t>
        </is>
      </c>
      <c r="G214" t="inlineStr">
        <is>
          <t>TIDAHOLM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49157-2024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46256</v>
      </c>
      <c r="F215" t="inlineStr">
        <is>
          <t>VÄSTRA GÖTALANDS LÄN</t>
        </is>
      </c>
      <c r="G215" t="inlineStr">
        <is>
          <t>TIDAHOLM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46256</v>
      </c>
      <c r="F216" t="inlineStr">
        <is>
          <t>VÄSTRA GÖTALANDS LÄN</t>
        </is>
      </c>
      <c r="G216" t="inlineStr">
        <is>
          <t>TIDAHOLM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45096</v>
      </c>
      <c r="E217" s="1" t="n">
        <v>46256</v>
      </c>
      <c r="F217" t="inlineStr">
        <is>
          <t>VÄSTRA GÖTALANDS LÄN</t>
        </is>
      </c>
      <c r="G217" t="inlineStr">
        <is>
          <t>TIDAHOLM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46256</v>
      </c>
      <c r="F218" t="inlineStr">
        <is>
          <t>VÄSTRA GÖTALANDS LÄN</t>
        </is>
      </c>
      <c r="G218" t="inlineStr">
        <is>
          <t>TIDAHOLM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46256</v>
      </c>
      <c r="F219" t="inlineStr">
        <is>
          <t>VÄSTRA GÖTALANDS LÄN</t>
        </is>
      </c>
      <c r="G219" t="inlineStr">
        <is>
          <t>TIDAHOLM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45855</v>
      </c>
      <c r="E220" s="1" t="n">
        <v>46256</v>
      </c>
      <c r="F220" t="inlineStr">
        <is>
          <t>VÄSTRA GÖTALANDS LÄN</t>
        </is>
      </c>
      <c r="G220" t="inlineStr">
        <is>
          <t>TIDAHOLM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46256</v>
      </c>
      <c r="F221" t="inlineStr">
        <is>
          <t>VÄSTRA GÖTALANDS LÄN</t>
        </is>
      </c>
      <c r="G221" t="inlineStr">
        <is>
          <t>TIDAHOLM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46256</v>
      </c>
      <c r="F222" t="inlineStr">
        <is>
          <t>VÄSTRA GÖTALANDS LÄN</t>
        </is>
      </c>
      <c r="G222" t="inlineStr">
        <is>
          <t>TIDAHOLM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46256</v>
      </c>
      <c r="F223" t="inlineStr">
        <is>
          <t>VÄSTRA GÖTALANDS LÄN</t>
        </is>
      </c>
      <c r="G223" t="inlineStr">
        <is>
          <t>TIDAHOLM</t>
        </is>
      </c>
      <c r="I223" t="n">
        <v>9.4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46256</v>
      </c>
      <c r="F224" t="inlineStr">
        <is>
          <t>VÄSTRA GÖTALANDS LÄN</t>
        </is>
      </c>
      <c r="G224" t="inlineStr">
        <is>
          <t>TIDAHOLM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46256</v>
      </c>
      <c r="F225" t="inlineStr">
        <is>
          <t>VÄSTRA GÖTALANDS LÄN</t>
        </is>
      </c>
      <c r="G225" t="inlineStr">
        <is>
          <t>TIDAHOLM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46256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45473</v>
      </c>
      <c r="E227" s="1" t="n">
        <v>46256</v>
      </c>
      <c r="F227" t="inlineStr">
        <is>
          <t>VÄSTRA GÖTALANDS LÄN</t>
        </is>
      </c>
      <c r="G227" t="inlineStr">
        <is>
          <t>TIDAHOLM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46256</v>
      </c>
      <c r="F228" t="inlineStr">
        <is>
          <t>VÄSTRA GÖTALANDS LÄN</t>
        </is>
      </c>
      <c r="G228" t="inlineStr">
        <is>
          <t>TIDAHOLM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49050-2021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44453</v>
      </c>
      <c r="E229" s="1" t="n">
        <v>46256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45861</v>
      </c>
      <c r="E230" s="1" t="n">
        <v>46256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46256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Kyrkan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46256</v>
      </c>
      <c r="F232" t="inlineStr">
        <is>
          <t>VÄSTRA GÖTALANDS LÄN</t>
        </is>
      </c>
      <c r="G232" t="inlineStr">
        <is>
          <t>TIDAHOLM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46256</v>
      </c>
      <c r="F233" t="inlineStr">
        <is>
          <t>VÄSTRA GÖTALANDS LÄN</t>
        </is>
      </c>
      <c r="G233" t="inlineStr">
        <is>
          <t>TIDAHOLM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45623</v>
      </c>
      <c r="E234" s="1" t="n">
        <v>46256</v>
      </c>
      <c r="F234" t="inlineStr">
        <is>
          <t>VÄSTRA GÖTALANDS LÄN</t>
        </is>
      </c>
      <c r="G234" t="inlineStr">
        <is>
          <t>TIDAHOLM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44720</v>
      </c>
      <c r="E235" s="1" t="n">
        <v>46256</v>
      </c>
      <c r="F235" t="inlineStr">
        <is>
          <t>VÄSTRA GÖTALANDS LÄN</t>
        </is>
      </c>
      <c r="G235" t="inlineStr">
        <is>
          <t>TIDAHOLM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46256</v>
      </c>
      <c r="F236" t="inlineStr">
        <is>
          <t>VÄSTRA GÖTALANDS LÄN</t>
        </is>
      </c>
      <c r="G236" t="inlineStr">
        <is>
          <t>TIDAHOLM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46256</v>
      </c>
      <c r="F237" t="inlineStr">
        <is>
          <t>VÄSTRA GÖTALANDS LÄN</t>
        </is>
      </c>
      <c r="G237" t="inlineStr">
        <is>
          <t>TIDAHOLM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46256</v>
      </c>
      <c r="F238" t="inlineStr">
        <is>
          <t>VÄSTRA GÖTALANDS LÄN</t>
        </is>
      </c>
      <c r="G238" t="inlineStr">
        <is>
          <t>TIDAHOLM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46256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60644-2022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44911</v>
      </c>
      <c r="E240" s="1" t="n">
        <v>46256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46256</v>
      </c>
      <c r="F241" t="inlineStr">
        <is>
          <t>VÄSTRA GÖTALANDS LÄN</t>
        </is>
      </c>
      <c r="G241" t="inlineStr">
        <is>
          <t>TIDAHOLM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46256</v>
      </c>
      <c r="F242" t="inlineStr">
        <is>
          <t>VÄSTRA GÖTALANDS LÄN</t>
        </is>
      </c>
      <c r="G242" t="inlineStr">
        <is>
          <t>TIDAHOLM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14907-2023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45013</v>
      </c>
      <c r="E243" s="1" t="n">
        <v>46256</v>
      </c>
      <c r="F243" t="inlineStr">
        <is>
          <t>VÄSTRA GÖTALANDS LÄN</t>
        </is>
      </c>
      <c r="G243" t="inlineStr">
        <is>
          <t>TIDAHOLM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46256</v>
      </c>
      <c r="F244" t="inlineStr">
        <is>
          <t>VÄSTRA GÖTALANDS LÄN</t>
        </is>
      </c>
      <c r="G244" t="inlineStr">
        <is>
          <t>TIDAHOLM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45212</v>
      </c>
      <c r="E245" s="1" t="n">
        <v>46256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45359</v>
      </c>
      <c r="E246" s="1" t="n">
        <v>46256</v>
      </c>
      <c r="F246" t="inlineStr">
        <is>
          <t>VÄSTRA GÖTALANDS LÄN</t>
        </is>
      </c>
      <c r="G246" t="inlineStr">
        <is>
          <t>TIDAHOLM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44685</v>
      </c>
      <c r="E247" s="1" t="n">
        <v>46256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45047</v>
      </c>
      <c r="E248" s="1" t="n">
        <v>46256</v>
      </c>
      <c r="F248" t="inlineStr">
        <is>
          <t>VÄSTRA GÖTALANDS LÄN</t>
        </is>
      </c>
      <c r="G248" t="inlineStr">
        <is>
          <t>TIDAHOLM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45548</v>
      </c>
      <c r="E249" s="1" t="n">
        <v>46256</v>
      </c>
      <c r="F249" t="inlineStr">
        <is>
          <t>VÄSTRA GÖTALANDS LÄN</t>
        </is>
      </c>
      <c r="G249" t="inlineStr">
        <is>
          <t>TIDAHOLM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46256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Allmännings- och besparingsskogar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46256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46256</v>
      </c>
      <c r="F252" t="inlineStr">
        <is>
          <t>VÄSTRA GÖTALANDS LÄN</t>
        </is>
      </c>
      <c r="G252" t="inlineStr">
        <is>
          <t>TIDAHOLM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46256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46256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45311</v>
      </c>
      <c r="E255" s="1" t="n">
        <v>46256</v>
      </c>
      <c r="F255" t="inlineStr">
        <is>
          <t>VÄSTRA GÖTALANDS LÄN</t>
        </is>
      </c>
      <c r="G255" t="inlineStr">
        <is>
          <t>TIDAHOLM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46256</v>
      </c>
      <c r="F256" t="inlineStr">
        <is>
          <t>VÄSTRA GÖTALANDS LÄN</t>
        </is>
      </c>
      <c r="G256" t="inlineStr">
        <is>
          <t>TIDAHOLM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45336</v>
      </c>
      <c r="E257" s="1" t="n">
        <v>46256</v>
      </c>
      <c r="F257" t="inlineStr">
        <is>
          <t>VÄSTRA GÖTALANDS LÄN</t>
        </is>
      </c>
      <c r="G257" t="inlineStr">
        <is>
          <t>TIDAHOLM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46256</v>
      </c>
      <c r="F258" t="inlineStr">
        <is>
          <t>VÄSTRA GÖTALANDS LÄN</t>
        </is>
      </c>
      <c r="G258" t="inlineStr">
        <is>
          <t>TIDAHOLM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44958</v>
      </c>
      <c r="E259" s="1" t="n">
        <v>46256</v>
      </c>
      <c r="F259" t="inlineStr">
        <is>
          <t>VÄSTRA GÖTALANDS LÄN</t>
        </is>
      </c>
      <c r="G259" t="inlineStr">
        <is>
          <t>TIDAHOLM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56016-2023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46256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Kyrkan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45581</v>
      </c>
      <c r="E261" s="1" t="n">
        <v>46256</v>
      </c>
      <c r="F261" t="inlineStr">
        <is>
          <t>VÄSTRA GÖTALANDS LÄN</t>
        </is>
      </c>
      <c r="G261" t="inlineStr">
        <is>
          <t>TIDAHOLM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46256</v>
      </c>
      <c r="F262" t="inlineStr">
        <is>
          <t>VÄSTRA GÖTALANDS LÄN</t>
        </is>
      </c>
      <c r="G262" t="inlineStr">
        <is>
          <t>TIDAHOLM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46256</v>
      </c>
      <c r="F263" t="inlineStr">
        <is>
          <t>VÄSTRA GÖTALANDS LÄN</t>
        </is>
      </c>
      <c r="G263" t="inlineStr">
        <is>
          <t>TIDAHOLM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45576</v>
      </c>
      <c r="E264" s="1" t="n">
        <v>46256</v>
      </c>
      <c r="F264" t="inlineStr">
        <is>
          <t>VÄSTRA GÖTALANDS LÄN</t>
        </is>
      </c>
      <c r="G264" t="inlineStr">
        <is>
          <t>TIDAHOLM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46256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46256</v>
      </c>
      <c r="F266" t="inlineStr">
        <is>
          <t>VÄSTRA GÖTALANDS LÄN</t>
        </is>
      </c>
      <c r="G266" t="inlineStr">
        <is>
          <t>TIDAHOLM</t>
        </is>
      </c>
      <c r="I266" t="n">
        <v>23.4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46256</v>
      </c>
      <c r="F267" t="inlineStr">
        <is>
          <t>VÄSTRA GÖTALANDS LÄN</t>
        </is>
      </c>
      <c r="G267" t="inlineStr">
        <is>
          <t>TIDAHOLM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46256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7917-2023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44973</v>
      </c>
      <c r="E269" s="1" t="n">
        <v>46256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49309-2021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44454</v>
      </c>
      <c r="E270" s="1" t="n">
        <v>46256</v>
      </c>
      <c r="F270" t="inlineStr">
        <is>
          <t>VÄSTRA GÖTALANDS LÄN</t>
        </is>
      </c>
      <c r="G270" t="inlineStr">
        <is>
          <t>TIDAHOLM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44915</v>
      </c>
      <c r="E271" s="1" t="n">
        <v>46256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61362-2022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44915</v>
      </c>
      <c r="E272" s="1" t="n">
        <v>46256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60646-2022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44911</v>
      </c>
      <c r="E273" s="1" t="n">
        <v>46256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46256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Kommuner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61587-2021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44501</v>
      </c>
      <c r="E275" s="1" t="n">
        <v>46256</v>
      </c>
      <c r="F275" t="inlineStr">
        <is>
          <t>VÄSTRA GÖTALANDS LÄN</t>
        </is>
      </c>
      <c r="G275" t="inlineStr">
        <is>
          <t>TIDAHOLM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46256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Allmännings- och besparingsskogar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46256</v>
      </c>
      <c r="F277" t="inlineStr">
        <is>
          <t>VÄSTRA GÖTALANDS LÄN</t>
        </is>
      </c>
      <c r="G277" t="inlineStr">
        <is>
          <t>TIDAHOLM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46256</v>
      </c>
      <c r="F278" t="inlineStr">
        <is>
          <t>VÄSTRA GÖTALANDS LÄN</t>
        </is>
      </c>
      <c r="G278" t="inlineStr">
        <is>
          <t>TIDAHOLM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46256</v>
      </c>
      <c r="F279" t="inlineStr">
        <is>
          <t>VÄSTRA GÖTALANDS LÄN</t>
        </is>
      </c>
      <c r="G279" t="inlineStr">
        <is>
          <t>TIDAHOLM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46256</v>
      </c>
      <c r="F280" t="inlineStr">
        <is>
          <t>VÄSTRA GÖTALANDS LÄN</t>
        </is>
      </c>
      <c r="G280" t="inlineStr">
        <is>
          <t>TIDAHOLM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46256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46256</v>
      </c>
      <c r="F282" t="inlineStr">
        <is>
          <t>VÄSTRA GÖTALANDS LÄN</t>
        </is>
      </c>
      <c r="G282" t="inlineStr">
        <is>
          <t>TIDAHOLM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46256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46256</v>
      </c>
      <c r="F284" t="inlineStr">
        <is>
          <t>VÄSTRA GÖTALANDS LÄN</t>
        </is>
      </c>
      <c r="G284" t="inlineStr">
        <is>
          <t>TIDAHOLM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44766</v>
      </c>
      <c r="E285" s="1" t="n">
        <v>46256</v>
      </c>
      <c r="F285" t="inlineStr">
        <is>
          <t>VÄSTRA GÖTALANDS LÄN</t>
        </is>
      </c>
      <c r="G285" t="inlineStr">
        <is>
          <t>TIDAHOLM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45594</v>
      </c>
      <c r="E286" s="1" t="n">
        <v>46256</v>
      </c>
      <c r="F286" t="inlineStr">
        <is>
          <t>VÄSTRA GÖTALANDS LÄN</t>
        </is>
      </c>
      <c r="G286" t="inlineStr">
        <is>
          <t>TIDAHOLM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46256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46256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46256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46256</v>
      </c>
      <c r="F290" t="inlineStr">
        <is>
          <t>VÄSTRA GÖTALANDS LÄN</t>
        </is>
      </c>
      <c r="G290" t="inlineStr">
        <is>
          <t>TIDAHOLM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50294-2022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46256</v>
      </c>
      <c r="F291" t="inlineStr">
        <is>
          <t>VÄSTRA GÖTALANDS LÄN</t>
        </is>
      </c>
      <c r="G291" t="inlineStr">
        <is>
          <t>TIDAHOLM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11296-2026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46080</v>
      </c>
      <c r="E292" s="1" t="n">
        <v>46256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46256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46256</v>
      </c>
      <c r="F294" t="inlineStr">
        <is>
          <t>VÄSTRA GÖTALANDS LÄN</t>
        </is>
      </c>
      <c r="G294" t="inlineStr">
        <is>
          <t>TIDAHOLM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46256</v>
      </c>
      <c r="F295" t="inlineStr">
        <is>
          <t>VÄSTRA GÖTALANDS LÄN</t>
        </is>
      </c>
      <c r="G295" t="inlineStr">
        <is>
          <t>TIDAHOLM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46256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11291-2026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46080</v>
      </c>
      <c r="E297" s="1" t="n">
        <v>46256</v>
      </c>
      <c r="F297" t="inlineStr">
        <is>
          <t>VÄSTRA GÖTALANDS LÄN</t>
        </is>
      </c>
      <c r="G297" t="inlineStr">
        <is>
          <t>TIDAHOLM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46256</v>
      </c>
      <c r="F298" t="inlineStr">
        <is>
          <t>VÄSTRA GÖTALANDS LÄN</t>
        </is>
      </c>
      <c r="G298" t="inlineStr">
        <is>
          <t>TIDAHOLM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46256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46256</v>
      </c>
      <c r="F300" t="inlineStr">
        <is>
          <t>VÄSTRA GÖTALANDS LÄN</t>
        </is>
      </c>
      <c r="G300" t="inlineStr">
        <is>
          <t>TIDAHOLM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57965-2022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46256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49300-2021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44454</v>
      </c>
      <c r="E302" s="1" t="n">
        <v>46256</v>
      </c>
      <c r="F302" t="inlineStr">
        <is>
          <t>VÄSTRA GÖTALANDS LÄN</t>
        </is>
      </c>
      <c r="G302" t="inlineStr">
        <is>
          <t>TIDAHOLM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46256</v>
      </c>
      <c r="F303" t="inlineStr">
        <is>
          <t>VÄSTRA GÖTALANDS LÄN</t>
        </is>
      </c>
      <c r="G303" t="inlineStr">
        <is>
          <t>TIDAHOLM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46256</v>
      </c>
      <c r="F304" t="inlineStr">
        <is>
          <t>VÄSTRA GÖTALANDS LÄN</t>
        </is>
      </c>
      <c r="G304" t="inlineStr">
        <is>
          <t>TIDAHOLM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46256</v>
      </c>
      <c r="F305" t="inlineStr">
        <is>
          <t>VÄSTRA GÖTALANDS LÄN</t>
        </is>
      </c>
      <c r="G305" t="inlineStr">
        <is>
          <t>TIDAHOLM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46256</v>
      </c>
      <c r="F306" t="inlineStr">
        <is>
          <t>VÄSTRA GÖTALANDS LÄN</t>
        </is>
      </c>
      <c r="G306" t="inlineStr">
        <is>
          <t>TIDAHOLM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45007</v>
      </c>
      <c r="E307" s="1" t="n">
        <v>46256</v>
      </c>
      <c r="F307" t="inlineStr">
        <is>
          <t>VÄSTRA GÖTALANDS LÄN</t>
        </is>
      </c>
      <c r="G307" t="inlineStr">
        <is>
          <t>TIDAHOLM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44985</v>
      </c>
      <c r="E308" s="1" t="n">
        <v>46256</v>
      </c>
      <c r="F308" t="inlineStr">
        <is>
          <t>VÄSTRA GÖTALANDS LÄN</t>
        </is>
      </c>
      <c r="G308" t="inlineStr">
        <is>
          <t>TIDAHOLM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46256</v>
      </c>
      <c r="F309" t="inlineStr">
        <is>
          <t>VÄSTRA GÖTALANDS LÄN</t>
        </is>
      </c>
      <c r="G309" t="inlineStr">
        <is>
          <t>TIDAHOLM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46256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46256</v>
      </c>
      <c r="F311" t="inlineStr">
        <is>
          <t>VÄSTRA GÖTALANDS LÄN</t>
        </is>
      </c>
      <c r="G311" t="inlineStr">
        <is>
          <t>TIDAHOLM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45485</v>
      </c>
      <c r="E312" s="1" t="n">
        <v>46256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46256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Kyrkan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46256</v>
      </c>
      <c r="F314" t="inlineStr">
        <is>
          <t>VÄSTRA GÖTALANDS LÄN</t>
        </is>
      </c>
      <c r="G314" t="inlineStr">
        <is>
          <t>TIDAHOLM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46256</v>
      </c>
      <c r="F315" t="inlineStr">
        <is>
          <t>VÄSTRA GÖTALANDS LÄN</t>
        </is>
      </c>
      <c r="G315" t="inlineStr">
        <is>
          <t>TIDAHOLM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46256</v>
      </c>
      <c r="F316" t="inlineStr">
        <is>
          <t>VÄSTRA GÖTALANDS LÄN</t>
        </is>
      </c>
      <c r="G316" t="inlineStr">
        <is>
          <t>TIDAHOLM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46256</v>
      </c>
      <c r="F317" t="inlineStr">
        <is>
          <t>VÄSTRA GÖTALANDS LÄN</t>
        </is>
      </c>
      <c r="G317" t="inlineStr">
        <is>
          <t>TIDAHOLM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46256</v>
      </c>
      <c r="F318" t="inlineStr">
        <is>
          <t>VÄSTRA GÖTALANDS LÄN</t>
        </is>
      </c>
      <c r="G318" t="inlineStr">
        <is>
          <t>TIDAHOLM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46256</v>
      </c>
      <c r="F319" t="inlineStr">
        <is>
          <t>VÄSTRA GÖTALANDS LÄN</t>
        </is>
      </c>
      <c r="G319" t="inlineStr">
        <is>
          <t>TIDAHOLM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46114</v>
      </c>
      <c r="E320" s="1" t="n">
        <v>46256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44973</v>
      </c>
      <c r="E321" s="1" t="n">
        <v>46256</v>
      </c>
      <c r="F321" t="inlineStr">
        <is>
          <t>VÄSTRA GÖTALANDS LÄN</t>
        </is>
      </c>
      <c r="G321" t="inlineStr">
        <is>
          <t>TIDAHOLM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44973</v>
      </c>
      <c r="E322" s="1" t="n">
        <v>46256</v>
      </c>
      <c r="F322" t="inlineStr">
        <is>
          <t>VÄSTRA GÖTALANDS LÄN</t>
        </is>
      </c>
      <c r="G322" t="inlineStr">
        <is>
          <t>TIDAHOLM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46256</v>
      </c>
      <c r="F323" t="inlineStr">
        <is>
          <t>VÄSTRA GÖTALANDS LÄN</t>
        </is>
      </c>
      <c r="G323" t="inlineStr">
        <is>
          <t>TIDAHOLM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59460-2022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46256</v>
      </c>
      <c r="F324" t="inlineStr">
        <is>
          <t>VÄSTRA GÖTALANDS LÄN</t>
        </is>
      </c>
      <c r="G324" t="inlineStr">
        <is>
          <t>TIDAHOLM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46123</v>
      </c>
      <c r="E325" s="1" t="n">
        <v>46256</v>
      </c>
      <c r="F325" t="inlineStr">
        <is>
          <t>VÄSTRA GÖTALANDS LÄN</t>
        </is>
      </c>
      <c r="G325" t="inlineStr">
        <is>
          <t>TIDAHOLM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46256</v>
      </c>
      <c r="F326" t="inlineStr">
        <is>
          <t>VÄSTRA GÖTALANDS LÄN</t>
        </is>
      </c>
      <c r="G326" t="inlineStr">
        <is>
          <t>TIDAHOLM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46129</v>
      </c>
      <c r="E327" s="1" t="n">
        <v>46256</v>
      </c>
      <c r="F327" t="inlineStr">
        <is>
          <t>VÄSTRA GÖTALANDS LÄN</t>
        </is>
      </c>
      <c r="G327" t="inlineStr">
        <is>
          <t>TIDAHOLM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46256</v>
      </c>
      <c r="F328" t="inlineStr">
        <is>
          <t>VÄSTRA GÖTALANDS LÄN</t>
        </is>
      </c>
      <c r="G328" t="inlineStr">
        <is>
          <t>TIDAHOLM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46131</v>
      </c>
      <c r="E329" s="1" t="n">
        <v>46256</v>
      </c>
      <c r="F329" t="inlineStr">
        <is>
          <t>VÄSTRA GÖTALANDS LÄN</t>
        </is>
      </c>
      <c r="G329" t="inlineStr">
        <is>
          <t>TIDAHOLM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45684</v>
      </c>
      <c r="E330" s="1" t="n">
        <v>46256</v>
      </c>
      <c r="F330" t="inlineStr">
        <is>
          <t>VÄSTRA GÖTALANDS LÄN</t>
        </is>
      </c>
      <c r="G330" t="inlineStr">
        <is>
          <t>TIDAHOLM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16382-2023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45029</v>
      </c>
      <c r="E331" s="1" t="n">
        <v>46256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46256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46256</v>
      </c>
      <c r="F333" t="inlineStr">
        <is>
          <t>VÄSTRA GÖTALANDS LÄN</t>
        </is>
      </c>
      <c r="G333" t="inlineStr">
        <is>
          <t>TIDAHOLM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46014</v>
      </c>
      <c r="E334" s="1" t="n">
        <v>46256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Kommuner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46256</v>
      </c>
      <c r="F335" t="inlineStr">
        <is>
          <t>VÄSTRA GÖTALANDS LÄN</t>
        </is>
      </c>
      <c r="G335" t="inlineStr">
        <is>
          <t>TIDAHOLM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46256</v>
      </c>
      <c r="F336" t="inlineStr">
        <is>
          <t>VÄSTRA GÖTALANDS LÄN</t>
        </is>
      </c>
      <c r="G336" t="inlineStr">
        <is>
          <t>TIDAHOLM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44994</v>
      </c>
      <c r="E337" s="1" t="n">
        <v>46256</v>
      </c>
      <c r="F337" t="inlineStr">
        <is>
          <t>VÄSTRA GÖTALANDS LÄN</t>
        </is>
      </c>
      <c r="G337" t="inlineStr">
        <is>
          <t>TIDAHOLM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46256</v>
      </c>
      <c r="F338" t="inlineStr">
        <is>
          <t>VÄSTRA GÖTALANDS LÄN</t>
        </is>
      </c>
      <c r="G338" t="inlineStr">
        <is>
          <t>TIDAHOLM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46256</v>
      </c>
      <c r="F339" t="inlineStr">
        <is>
          <t>VÄSTRA GÖTALANDS LÄN</t>
        </is>
      </c>
      <c r="G339" t="inlineStr">
        <is>
          <t>TIDAHOLM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46256</v>
      </c>
      <c r="F340" t="inlineStr">
        <is>
          <t>VÄSTRA GÖTALANDS LÄN</t>
        </is>
      </c>
      <c r="G340" t="inlineStr">
        <is>
          <t>TIDAHOLM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50624-2022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44866</v>
      </c>
      <c r="E341" s="1" t="n">
        <v>46256</v>
      </c>
      <c r="F341" t="inlineStr">
        <is>
          <t>VÄSTRA GÖTALANDS LÄN</t>
        </is>
      </c>
      <c r="G341" t="inlineStr">
        <is>
          <t>TIDAHOLM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44720</v>
      </c>
      <c r="E342" s="1" t="n">
        <v>46256</v>
      </c>
      <c r="F342" t="inlineStr">
        <is>
          <t>VÄSTRA GÖTALANDS LÄN</t>
        </is>
      </c>
      <c r="G342" t="inlineStr">
        <is>
          <t>TIDAHOLM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46256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46256</v>
      </c>
      <c r="F344" t="inlineStr">
        <is>
          <t>VÄSTRA GÖTALANDS LÄN</t>
        </is>
      </c>
      <c r="G344" t="inlineStr">
        <is>
          <t>TIDAHOLM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46256</v>
      </c>
      <c r="F345" t="inlineStr">
        <is>
          <t>VÄSTRA GÖTALANDS LÄN</t>
        </is>
      </c>
      <c r="G345" t="inlineStr">
        <is>
          <t>TIDAHOLM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46256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46256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44630</v>
      </c>
      <c r="E348" s="1" t="n">
        <v>46256</v>
      </c>
      <c r="F348" t="inlineStr">
        <is>
          <t>VÄSTRA GÖTALANDS LÄN</t>
        </is>
      </c>
      <c r="G348" t="inlineStr">
        <is>
          <t>TIDAHOLM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46256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46256</v>
      </c>
      <c r="F350" t="inlineStr">
        <is>
          <t>VÄSTRA GÖTALANDS LÄN</t>
        </is>
      </c>
      <c r="G350" t="inlineStr">
        <is>
          <t>TIDAHOLM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46256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45165-2025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46256</v>
      </c>
      <c r="F352" t="inlineStr">
        <is>
          <t>VÄSTRA GÖTALANDS LÄN</t>
        </is>
      </c>
      <c r="G352" t="inlineStr">
        <is>
          <t>TIDAHOLM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46256</v>
      </c>
      <c r="F353" t="inlineStr">
        <is>
          <t>VÄSTRA GÖTALANDS LÄN</t>
        </is>
      </c>
      <c r="G353" t="inlineStr">
        <is>
          <t>TIDAHOLM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46256</v>
      </c>
      <c r="F354" t="inlineStr">
        <is>
          <t>VÄSTRA GÖTALANDS LÄN</t>
        </is>
      </c>
      <c r="G354" t="inlineStr">
        <is>
          <t>TIDAHOLM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45096</v>
      </c>
      <c r="E355" s="1" t="n">
        <v>46256</v>
      </c>
      <c r="F355" t="inlineStr">
        <is>
          <t>VÄSTRA GÖTALANDS LÄN</t>
        </is>
      </c>
      <c r="G355" t="inlineStr">
        <is>
          <t>TIDAHOLM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21285-2025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45779</v>
      </c>
      <c r="E356" s="1" t="n">
        <v>46256</v>
      </c>
      <c r="F356" t="inlineStr">
        <is>
          <t>VÄSTRA GÖTALANDS LÄN</t>
        </is>
      </c>
      <c r="G356" t="inlineStr">
        <is>
          <t>TIDAHOLM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46256</v>
      </c>
      <c r="F357" t="inlineStr">
        <is>
          <t>VÄSTRA GÖTALANDS LÄN</t>
        </is>
      </c>
      <c r="G357" t="inlineStr">
        <is>
          <t>TIDAHOLM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44622</v>
      </c>
      <c r="E358" s="1" t="n">
        <v>46256</v>
      </c>
      <c r="F358" t="inlineStr">
        <is>
          <t>VÄSTRA GÖTALANDS LÄN</t>
        </is>
      </c>
      <c r="G358" t="inlineStr">
        <is>
          <t>TIDAHOLM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49159-2024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46256</v>
      </c>
      <c r="F359" t="inlineStr">
        <is>
          <t>VÄSTRA GÖTALANDS LÄN</t>
        </is>
      </c>
      <c r="G359" t="inlineStr">
        <is>
          <t>TIDAHOLM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57573-2024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46256</v>
      </c>
      <c r="F360" t="inlineStr">
        <is>
          <t>VÄSTRA GÖTALANDS LÄN</t>
        </is>
      </c>
      <c r="G360" t="inlineStr">
        <is>
          <t>TIDAHOLM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46256</v>
      </c>
      <c r="F361" t="inlineStr">
        <is>
          <t>VÄSTRA GÖTALANDS LÄN</t>
        </is>
      </c>
      <c r="G361" t="inlineStr">
        <is>
          <t>TIDAHOLM</t>
        </is>
      </c>
      <c r="I361" t="n">
        <v>9.6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45258</v>
      </c>
      <c r="E362" s="1" t="n">
        <v>46256</v>
      </c>
      <c r="F362" t="inlineStr">
        <is>
          <t>VÄSTRA GÖTALANDS LÄN</t>
        </is>
      </c>
      <c r="G362" t="inlineStr">
        <is>
          <t>TIDAHOLM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45041</v>
      </c>
      <c r="E363" s="1" t="n">
        <v>46256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46256</v>
      </c>
      <c r="F364" t="inlineStr">
        <is>
          <t>VÄSTRA GÖTALANDS LÄN</t>
        </is>
      </c>
      <c r="G364" t="inlineStr">
        <is>
          <t>TIDAHOLM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45847</v>
      </c>
      <c r="E365" s="1" t="n">
        <v>46256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45495</v>
      </c>
      <c r="E366" s="1" t="n">
        <v>46256</v>
      </c>
      <c r="F366" t="inlineStr">
        <is>
          <t>VÄSTRA GÖTALANDS LÄN</t>
        </is>
      </c>
      <c r="G366" t="inlineStr">
        <is>
          <t>TIDAHOLM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30677-2024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45495</v>
      </c>
      <c r="E367" s="1" t="n">
        <v>46256</v>
      </c>
      <c r="F367" t="inlineStr">
        <is>
          <t>VÄSTRA GÖTALANDS LÄN</t>
        </is>
      </c>
      <c r="G367" t="inlineStr">
        <is>
          <t>TIDAHOLM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45226</v>
      </c>
      <c r="E368" s="1" t="n">
        <v>46256</v>
      </c>
      <c r="F368" t="inlineStr">
        <is>
          <t>VÄSTRA GÖTALANDS LÄN</t>
        </is>
      </c>
      <c r="G368" t="inlineStr">
        <is>
          <t>TIDAHOLM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45090</v>
      </c>
      <c r="E369" s="1" t="n">
        <v>46256</v>
      </c>
      <c r="F369" t="inlineStr">
        <is>
          <t>VÄSTRA GÖTALANDS LÄN</t>
        </is>
      </c>
      <c r="G369" t="inlineStr">
        <is>
          <t>TIDAHOLM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44451-2023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46256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Allmännings- och besparingsskogar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45265</v>
      </c>
      <c r="E371" s="1" t="n">
        <v>46256</v>
      </c>
      <c r="F371" t="inlineStr">
        <is>
          <t>VÄSTRA GÖTALANDS LÄN</t>
        </is>
      </c>
      <c r="G371" t="inlineStr">
        <is>
          <t>TIDAHOLM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46256</v>
      </c>
      <c r="F372" t="inlineStr">
        <is>
          <t>VÄSTRA GÖTALANDS LÄN</t>
        </is>
      </c>
      <c r="G372" t="inlineStr">
        <is>
          <t>TIDAHOLM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46256</v>
      </c>
      <c r="F373" t="inlineStr">
        <is>
          <t>VÄSTRA GÖTALANDS LÄN</t>
        </is>
      </c>
      <c r="G373" t="inlineStr">
        <is>
          <t>TIDAHOLM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69446-2021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44531</v>
      </c>
      <c r="E374" s="1" t="n">
        <v>46256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Kyrkan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46256</v>
      </c>
      <c r="F375" t="inlineStr">
        <is>
          <t>VÄSTRA GÖTALANDS LÄN</t>
        </is>
      </c>
      <c r="G375" t="inlineStr">
        <is>
          <t>TIDAHOLM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45752</v>
      </c>
      <c r="E376" s="1" t="n">
        <v>46256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46256</v>
      </c>
      <c r="F377" t="inlineStr">
        <is>
          <t>VÄSTRA GÖTALANDS LÄN</t>
        </is>
      </c>
      <c r="G377" t="inlineStr">
        <is>
          <t>TIDAHOLM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46256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46256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46256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45814</v>
      </c>
      <c r="E381" s="1" t="n">
        <v>46256</v>
      </c>
      <c r="F381" t="inlineStr">
        <is>
          <t>VÄSTRA GÖTALANDS LÄN</t>
        </is>
      </c>
      <c r="G381" t="inlineStr">
        <is>
          <t>TIDAHOLM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45392</v>
      </c>
      <c r="E382" s="1" t="n">
        <v>46256</v>
      </c>
      <c r="F382" t="inlineStr">
        <is>
          <t>VÄSTRA GÖTALANDS LÄN</t>
        </is>
      </c>
      <c r="G382" t="inlineStr">
        <is>
          <t>TIDAHOLM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45473</v>
      </c>
      <c r="E383" s="1" t="n">
        <v>46256</v>
      </c>
      <c r="F383" t="inlineStr">
        <is>
          <t>VÄSTRA GÖTALANDS LÄN</t>
        </is>
      </c>
      <c r="G383" t="inlineStr">
        <is>
          <t>TIDAHOLM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35125-2024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45530</v>
      </c>
      <c r="E384" s="1" t="n">
        <v>46256</v>
      </c>
      <c r="F384" t="inlineStr">
        <is>
          <t>VÄSTRA GÖTALANDS LÄN</t>
        </is>
      </c>
      <c r="G384" t="inlineStr">
        <is>
          <t>TIDAHOLM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46256</v>
      </c>
      <c r="F385" t="inlineStr">
        <is>
          <t>VÄSTRA GÖTALANDS LÄN</t>
        </is>
      </c>
      <c r="G385" t="inlineStr">
        <is>
          <t>TIDAHOLM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46256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45711</v>
      </c>
      <c r="E387" s="1" t="n">
        <v>46256</v>
      </c>
      <c r="F387" t="inlineStr">
        <is>
          <t>VÄSTRA GÖTALANDS LÄN</t>
        </is>
      </c>
      <c r="G387" t="inlineStr">
        <is>
          <t>TIDAHOLM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33568-2024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45519</v>
      </c>
      <c r="E388" s="1" t="n">
        <v>46256</v>
      </c>
      <c r="F388" t="inlineStr">
        <is>
          <t>VÄSTRA GÖTALANDS LÄN</t>
        </is>
      </c>
      <c r="G388" t="inlineStr">
        <is>
          <t>TIDAHOLM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45790</v>
      </c>
      <c r="E389" s="1" t="n">
        <v>46256</v>
      </c>
      <c r="F389" t="inlineStr">
        <is>
          <t>VÄSTRA GÖTALANDS LÄN</t>
        </is>
      </c>
      <c r="G389" t="inlineStr">
        <is>
          <t>TIDAHOLM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45680</v>
      </c>
      <c r="E390" s="1" t="n">
        <v>46256</v>
      </c>
      <c r="F390" t="inlineStr">
        <is>
          <t>VÄSTRA GÖTALANDS LÄN</t>
        </is>
      </c>
      <c r="G390" t="inlineStr">
        <is>
          <t>TIDAHOLM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45728</v>
      </c>
      <c r="E391" s="1" t="n">
        <v>46256</v>
      </c>
      <c r="F391" t="inlineStr">
        <is>
          <t>VÄSTRA GÖTALANDS LÄN</t>
        </is>
      </c>
      <c r="G391" t="inlineStr">
        <is>
          <t>TIDAHOLM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415-2021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44257</v>
      </c>
      <c r="E392" s="1" t="n">
        <v>46256</v>
      </c>
      <c r="F392" t="inlineStr">
        <is>
          <t>VÄSTRA GÖTALANDS LÄN</t>
        </is>
      </c>
      <c r="G392" t="inlineStr">
        <is>
          <t>TIDAHOLM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986-2022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46256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98.40000000000001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968-2022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46256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87.3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2715-2025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45930</v>
      </c>
      <c r="E395" s="1" t="n">
        <v>46256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2026-08-22T01:48:44Z</dcterms:created>
  <dcterms:modified xmlns:dcterms="http://purl.org/dc/terms/" xmlns:xsi="http://www.w3.org/2001/XMLSchema-instance" xsi:type="dcterms:W3CDTF">2026-08-22T01:48:45Z</dcterms:modified>
</cp:coreProperties>
</file>