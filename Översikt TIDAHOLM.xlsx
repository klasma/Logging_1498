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46320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46320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46320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46320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46320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46320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46320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37773-2026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46320</v>
      </c>
      <c r="F10" t="inlineStr">
        <is>
          <t>VÄSTRA GÖTALANDS LÄN</t>
        </is>
      </c>
      <c r="G10" t="inlineStr">
        <is>
          <t>TIDAHOLM</t>
        </is>
      </c>
      <c r="I10" t="n">
        <v>2.3</v>
      </c>
      <c r="J10" t="n">
        <v>0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Skogsalm
Lunglav</t>
        </is>
      </c>
      <c r="W10">
        <f>HYPERLINK("https://klasma.github.io/Logging_1498/artfynd/A 37773-2026 artfynd.xlsx", "A 37773-2026")</f>
        <v/>
      </c>
      <c r="X10">
        <f>HYPERLINK("https://klasma.github.io/Logging_1498/kartor/A 37773-2026 karta.png", "A 37773-2026")</f>
        <v/>
      </c>
      <c r="Y10">
        <f>HYPERLINK("https://klasma.github.io/Logging_1498/kartor_geotiff/A 37773-2026 georefererad karta.tif", "A 37773-2026")</f>
        <v/>
      </c>
      <c r="AA10">
        <f>HYPERLINK("https://klasma.github.io/Logging_1498/klagomål/A 37773-2026 FSC-klagomål.docx", "A 37773-2026")</f>
        <v/>
      </c>
      <c r="AB10">
        <f>HYPERLINK("https://klasma.github.io/Logging_1498/klagomålsmail/A 37773-2026 FSC-klagomål mail.docx", "A 37773-2026")</f>
        <v/>
      </c>
      <c r="AC10">
        <f>HYPERLINK("https://klasma.github.io/Logging_1498/tillsyn/A 37773-2026 tillsynsbegäran.docx", "A 37773-2026")</f>
        <v/>
      </c>
      <c r="AD10">
        <f>HYPERLINK("https://klasma.github.io/Logging_1498/tillsynsmail/A 37773-2026 tillsynsbegäran mail.docx", "A 37773-2026")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46320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44466-2023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46320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Allmännings- och besparingsskogar</t>
        </is>
      </c>
      <c r="I12" t="n">
        <v>7.4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5</v>
      </c>
      <c r="V12" s="2" t="inlineStr">
        <is>
          <t>Mosippa
Dropptaggsvamp</t>
        </is>
      </c>
      <c r="W12">
        <f>HYPERLINK("https://klasma.github.io/Logging_1498/artfynd/A 44466-2023 artfynd.xlsx", "A 44466-2023")</f>
        <v/>
      </c>
      <c r="X12">
        <f>HYPERLINK("https://klasma.github.io/Logging_1498/kartor/A 44466-2023 karta.png", "A 44466-2023")</f>
        <v/>
      </c>
      <c r="Y12">
        <f>HYPERLINK("https://klasma.github.io/Logging_1498/kartor_geotiff/A 44466-2023 georefererad karta.tif", "A 44466-2023")</f>
        <v/>
      </c>
      <c r="AA12">
        <f>HYPERLINK("https://klasma.github.io/Logging_1498/klagomål/A 44466-2023 FSC-klagomål.docx", "A 44466-2023")</f>
        <v/>
      </c>
      <c r="AB12">
        <f>HYPERLINK("https://klasma.github.io/Logging_1498/klagomålsmail/A 44466-2023 FSC-klagomål mail.docx", "A 44466-2023")</f>
        <v/>
      </c>
      <c r="AC12">
        <f>HYPERLINK("https://klasma.github.io/Logging_1498/tillsyn/A 44466-2023 tillsynsbegäran.docx", "A 44466-2023")</f>
        <v/>
      </c>
      <c r="AD12">
        <f>HYPERLINK("https://klasma.github.io/Logging_1498/tillsynsmail/A 44466-2023 tillsynsbegäran mail.docx", "A 44466-2023")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46320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46320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46320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46320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46320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46320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46320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46320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12332-2022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44637</v>
      </c>
      <c r="E21" s="1" t="n">
        <v>46320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Kommuner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Mörk dunört</t>
        </is>
      </c>
      <c r="W21">
        <f>HYPERLINK("https://klasma.github.io/Logging_1498/artfynd/A 12332-2022 artfynd.xlsx", "A 12332-2022")</f>
        <v/>
      </c>
      <c r="X21">
        <f>HYPERLINK("https://klasma.github.io/Logging_1498/kartor/A 12332-2022 karta.png", "A 12332-2022")</f>
        <v/>
      </c>
      <c r="Y21">
        <f>HYPERLINK("https://klasma.github.io/Logging_1498/kartor_geotiff/A 12332-2022 georefererad karta.tif", "A 12332-2022")</f>
        <v/>
      </c>
      <c r="AA21">
        <f>HYPERLINK("https://klasma.github.io/Logging_1498/klagomål/A 12332-2022 FSC-klagomål.docx", "A 12332-2022")</f>
        <v/>
      </c>
      <c r="AB21">
        <f>HYPERLINK("https://klasma.github.io/Logging_1498/klagomålsmail/A 12332-2022 FSC-klagomål mail.docx", "A 12332-2022")</f>
        <v/>
      </c>
      <c r="AC21">
        <f>HYPERLINK("https://klasma.github.io/Logging_1498/tillsyn/A 12332-2022 tillsynsbegäran.docx", "A 12332-2022")</f>
        <v/>
      </c>
      <c r="AD21">
        <f>HYPERLINK("https://klasma.github.io/Logging_1498/tillsynsmail/A 12332-2022 tillsynsbegäran mail.docx", "A 12332-2022")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46320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6813-2026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46320</v>
      </c>
      <c r="F23" t="inlineStr">
        <is>
          <t>VÄSTRA GÖTALANDS LÄN</t>
        </is>
      </c>
      <c r="G23" t="inlineStr">
        <is>
          <t>TIDAHOLM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HYPERLINK("https://klasma.github.io/Logging_1498/artfynd/A 6813-2026 artfynd.xlsx", "A 6813-2026")</f>
        <v/>
      </c>
      <c r="X23">
        <f>HYPERLINK("https://klasma.github.io/Logging_1498/kartor/A 6813-2026 karta.png", "A 6813-2026")</f>
        <v/>
      </c>
      <c r="Y23">
        <f>HYPERLINK("https://klasma.github.io/Logging_1498/kartor_geotiff/A 6813-2026 georefererad karta.tif", "A 6813-2026")</f>
        <v/>
      </c>
      <c r="AA23">
        <f>HYPERLINK("https://klasma.github.io/Logging_1498/klagomål/A 6813-2026 FSC-klagomål.docx", "A 6813-2026")</f>
        <v/>
      </c>
      <c r="AB23">
        <f>HYPERLINK("https://klasma.github.io/Logging_1498/klagomålsmail/A 6813-2026 FSC-klagomål mail.docx", "A 6813-2026")</f>
        <v/>
      </c>
      <c r="AC23">
        <f>HYPERLINK("https://klasma.github.io/Logging_1498/tillsyn/A 6813-2026 tillsynsbegäran.docx", "A 6813-2026")</f>
        <v/>
      </c>
      <c r="AD23">
        <f>HYPERLINK("https://klasma.github.io/Logging_1498/tillsynsmail/A 6813-2026 tillsynsbegäran mail.docx", "A 6813-2026")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46320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44144-2026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46315</v>
      </c>
      <c r="E25" s="1" t="n">
        <v>46320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Allmännings- och besparingsskogar</t>
        </is>
      </c>
      <c r="I25" t="n">
        <v>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Dropptaggsvamp</t>
        </is>
      </c>
      <c r="W25">
        <f>HYPERLINK("https://klasma.github.io/Logging_1498/artfynd/A 44144-2026 artfynd.xlsx", "A 44144-2026")</f>
        <v/>
      </c>
      <c r="X25">
        <f>HYPERLINK("https://klasma.github.io/Logging_1498/kartor/A 44144-2026 karta.png", "A 44144-2026")</f>
        <v/>
      </c>
      <c r="Y25">
        <f>HYPERLINK("https://klasma.github.io/Logging_1498/kartor_geotiff/A 44144-2026 georefererad karta.tif", "A 44144-2026")</f>
        <v/>
      </c>
      <c r="AA25">
        <f>HYPERLINK("https://klasma.github.io/Logging_1498/klagomål/A 44144-2026 FSC-klagomål.docx", "A 44144-2026")</f>
        <v/>
      </c>
      <c r="AB25">
        <f>HYPERLINK("https://klasma.github.io/Logging_1498/klagomålsmail/A 44144-2026 FSC-klagomål mail.docx", "A 44144-2026")</f>
        <v/>
      </c>
      <c r="AC25">
        <f>HYPERLINK("https://klasma.github.io/Logging_1498/tillsyn/A 44144-2026 tillsynsbegäran.docx", "A 44144-2026")</f>
        <v/>
      </c>
      <c r="AD25">
        <f>HYPERLINK("https://klasma.github.io/Logging_1498/tillsynsmail/A 44144-2026 tillsynsbegäran mail.docx", "A 44144-2026")</f>
        <v/>
      </c>
    </row>
    <row r="26" ht="15" customHeight="1">
      <c r="A26" t="inlineStr">
        <is>
          <t>A 57539-2023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45246</v>
      </c>
      <c r="E26" s="1" t="n">
        <v>46320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Kyrkan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HYPERLINK("https://klasma.github.io/Logging_1498/artfynd/A 57539-2023 artfynd.xlsx", "A 57539-2023")</f>
        <v/>
      </c>
      <c r="X26">
        <f>HYPERLINK("https://klasma.github.io/Logging_1498/kartor/A 57539-2023 karta.png", "A 57539-2023")</f>
        <v/>
      </c>
      <c r="Y26">
        <f>HYPERLINK("https://klasma.github.io/Logging_1498/kartor_geotiff/A 57539-2023 georefererad karta.tif", "A 57539-2023")</f>
        <v/>
      </c>
      <c r="AA26">
        <f>HYPERLINK("https://klasma.github.io/Logging_1498/klagomål/A 57539-2023 FSC-klagomål.docx", "A 57539-2023")</f>
        <v/>
      </c>
      <c r="AB26">
        <f>HYPERLINK("https://klasma.github.io/Logging_1498/klagomålsmail/A 57539-2023 FSC-klagomål mail.docx", "A 57539-2023")</f>
        <v/>
      </c>
      <c r="AC26">
        <f>HYPERLINK("https://klasma.github.io/Logging_1498/tillsyn/A 57539-2023 tillsynsbegäran.docx", "A 57539-2023")</f>
        <v/>
      </c>
      <c r="AD26">
        <f>HYPERLINK("https://klasma.github.io/Logging_1498/tillsynsmail/A 57539-2023 tillsynsbegäran mail.docx", "A 57539-2023")</f>
        <v/>
      </c>
    </row>
    <row r="27" ht="15" customHeight="1">
      <c r="A27" t="inlineStr">
        <is>
          <t>A 54133-2023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46320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Kyrkan</t>
        </is>
      </c>
      <c r="I27" t="n">
        <v>9.300000000000001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Gammelgransskål</t>
        </is>
      </c>
      <c r="W27">
        <f>HYPERLINK("https://klasma.github.io/Logging_1498/artfynd/A 54133-2023 artfynd.xlsx", "A 54133-2023")</f>
        <v/>
      </c>
      <c r="X27">
        <f>HYPERLINK("https://klasma.github.io/Logging_1498/kartor/A 54133-2023 karta.png", "A 54133-2023")</f>
        <v/>
      </c>
      <c r="Y27">
        <f>HYPERLINK("https://klasma.github.io/Logging_1498/kartor_geotiff/A 54133-2023 georefererad karta.tif", "A 54133-2023")</f>
        <v/>
      </c>
      <c r="AA27">
        <f>HYPERLINK("https://klasma.github.io/Logging_1498/klagomål/A 54133-2023 FSC-klagomål.docx", "A 54133-2023")</f>
        <v/>
      </c>
      <c r="AB27">
        <f>HYPERLINK("https://klasma.github.io/Logging_1498/klagomålsmail/A 54133-2023 FSC-klagomål mail.docx", "A 54133-2023")</f>
        <v/>
      </c>
      <c r="AC27">
        <f>HYPERLINK("https://klasma.github.io/Logging_1498/tillsyn/A 54133-2023 tillsynsbegäran.docx", "A 54133-2023")</f>
        <v/>
      </c>
      <c r="AD27">
        <f>HYPERLINK("https://klasma.github.io/Logging_1498/tillsynsmail/A 54133-2023 tillsynsbegäran mail.docx", "A 54133-2023")</f>
        <v/>
      </c>
    </row>
    <row r="28" ht="15" customHeight="1">
      <c r="A28" t="inlineStr">
        <is>
          <t>S 974-2022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46320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172.2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HYPERLINK("https://klasma.github.io/Logging_1498/artfynd/S 974-2022 artfynd.xlsx", "S 974-2022")</f>
        <v/>
      </c>
      <c r="X28">
        <f>HYPERLINK("https://klasma.github.io/Logging_1498/kartor/S 974-2022 karta.png", "S 974-2022")</f>
        <v/>
      </c>
      <c r="Y28">
        <f>HYPERLINK("https://klasma.github.io/Logging_1498/kartor_geotiff/S 974-2022 georefererad karta.tif", "S 974-2022")</f>
        <v/>
      </c>
      <c r="AA28">
        <f>HYPERLINK("https://klasma.github.io/Logging_1498/klagomål/S 974-2022 FSC-klagomål.docx", "S 974-2022")</f>
        <v/>
      </c>
      <c r="AB28">
        <f>HYPERLINK("https://klasma.github.io/Logging_1498/klagomålsmail/S 974-2022 FSC-klagomål mail.docx", "S 974-2022")</f>
        <v/>
      </c>
      <c r="AC28">
        <f>HYPERLINK("https://klasma.github.io/Logging_1498/tillsyn/S 974-2022 tillsynsbegäran.docx", "S 974-2022")</f>
        <v/>
      </c>
      <c r="AD28">
        <f>HYPERLINK("https://klasma.github.io/Logging_1498/tillsynsmail/S 974-2022 tillsynsbegäran mail.docx", "S 974-2022")</f>
        <v/>
      </c>
    </row>
    <row r="29" ht="15" customHeight="1">
      <c r="A29" t="inlineStr">
        <is>
          <t>S 966-2022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46320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94.2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Slåtterfibbla</t>
        </is>
      </c>
      <c r="W29">
        <f>HYPERLINK("https://klasma.github.io/Logging_1498/artfynd/S 966-2022 artfynd.xlsx", "S 966-2022")</f>
        <v/>
      </c>
      <c r="X29">
        <f>HYPERLINK("https://klasma.github.io/Logging_1498/kartor/S 966-2022 karta.png", "S 966-2022")</f>
        <v/>
      </c>
      <c r="Y29">
        <f>HYPERLINK("https://klasma.github.io/Logging_1498/kartor_geotiff/S 966-2022 georefererad karta.tif", "S 966-2022")</f>
        <v/>
      </c>
      <c r="AA29">
        <f>HYPERLINK("https://klasma.github.io/Logging_1498/klagomål/S 966-2022 FSC-klagomål.docx", "S 966-2022")</f>
        <v/>
      </c>
      <c r="AB29">
        <f>HYPERLINK("https://klasma.github.io/Logging_1498/klagomålsmail/S 966-2022 FSC-klagomål mail.docx", "S 966-2022")</f>
        <v/>
      </c>
      <c r="AC29">
        <f>HYPERLINK("https://klasma.github.io/Logging_1498/tillsyn/S 966-2022 tillsynsbegäran.docx", "S 966-2022")</f>
        <v/>
      </c>
      <c r="AD29">
        <f>HYPERLINK("https://klasma.github.io/Logging_1498/tillsynsmail/S 966-2022 tillsynsbegäran mail.docx", "S 966-2022")</f>
        <v/>
      </c>
    </row>
    <row r="30" ht="15" customHeight="1">
      <c r="A30" t="inlineStr">
        <is>
          <t>S 970-2022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44607</v>
      </c>
      <c r="E30" s="1" t="n">
        <v>46320</v>
      </c>
      <c r="F30" t="inlineStr">
        <is>
          <t>VÄSTRA GÖTALANDS LÄN</t>
        </is>
      </c>
      <c r="G30" t="inlineStr">
        <is>
          <t>TIDAHOLM</t>
        </is>
      </c>
      <c r="H30" t="inlineStr">
        <is>
          <t>Sveaskog</t>
        </is>
      </c>
      <c r="I30" t="n">
        <v>139.3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Kopparödla</t>
        </is>
      </c>
      <c r="W30">
        <f>HYPERLINK("https://klasma.github.io/Logging_1498/artfynd/S 970-2022 artfynd.xlsx", "S 970-2022")</f>
        <v/>
      </c>
      <c r="X30">
        <f>HYPERLINK("https://klasma.github.io/Logging_1498/kartor/S 970-2022 karta.png", "S 970-2022")</f>
        <v/>
      </c>
      <c r="Y30">
        <f>HYPERLINK("https://klasma.github.io/Logging_1498/kartor_geotiff/S 970-2022 georefererad karta.tif", "S 970-2022")</f>
        <v/>
      </c>
      <c r="AA30">
        <f>HYPERLINK("https://klasma.github.io/Logging_1498/klagomål/S 970-2022 FSC-klagomål.docx", "S 970-2022")</f>
        <v/>
      </c>
      <c r="AB30">
        <f>HYPERLINK("https://klasma.github.io/Logging_1498/klagomålsmail/S 970-2022 FSC-klagomål mail.docx", "S 970-2022")</f>
        <v/>
      </c>
      <c r="AC30">
        <f>HYPERLINK("https://klasma.github.io/Logging_1498/tillsyn/S 970-2022 tillsynsbegäran.docx", "S 970-2022")</f>
        <v/>
      </c>
      <c r="AD30">
        <f>HYPERLINK("https://klasma.github.io/Logging_1498/tillsynsmail/S 970-2022 tillsynsbegäran mail.docx", "S 970-2022")</f>
        <v/>
      </c>
    </row>
    <row r="31" ht="15" customHeight="1">
      <c r="A31" t="inlineStr">
        <is>
          <t>S 363-2026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46064</v>
      </c>
      <c r="E31" s="1" t="n">
        <v>46320</v>
      </c>
      <c r="F31" t="inlineStr">
        <is>
          <t>VÄSTRA GÖTALANDS LÄN</t>
        </is>
      </c>
      <c r="G31" t="inlineStr">
        <is>
          <t>TIDAHOLM</t>
        </is>
      </c>
      <c r="I31" t="n">
        <v>188.2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Gullklöver</t>
        </is>
      </c>
      <c r="W31">
        <f>HYPERLINK("https://klasma.github.io/Logging_1498/artfynd/S 363-2026 artfynd.xlsx", "S 363-2026")</f>
        <v/>
      </c>
      <c r="X31">
        <f>HYPERLINK("https://klasma.github.io/Logging_1498/kartor/S 363-2026 karta.png", "S 363-2026")</f>
        <v/>
      </c>
      <c r="Y31">
        <f>HYPERLINK("https://klasma.github.io/Logging_1498/kartor_geotiff/S 363-2026 georefererad karta.tif", "S 363-2026")</f>
        <v/>
      </c>
      <c r="AA31">
        <f>HYPERLINK("https://klasma.github.io/Logging_1498/klagomål/S 363-2026 FSC-klagomål.docx", "S 363-2026")</f>
        <v/>
      </c>
      <c r="AB31">
        <f>HYPERLINK("https://klasma.github.io/Logging_1498/klagomålsmail/S 363-2026 FSC-klagomål mail.docx", "S 363-2026")</f>
        <v/>
      </c>
      <c r="AC31">
        <f>HYPERLINK("https://klasma.github.io/Logging_1498/tillsyn/S 363-2026 tillsynsbegäran.docx", "S 363-2026")</f>
        <v/>
      </c>
      <c r="AD31">
        <f>HYPERLINK("https://klasma.github.io/Logging_1498/tillsynsmail/S 363-2026 tillsynsbegäran mail.docx", "S 363-2026")</f>
        <v/>
      </c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46320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46320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46320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46320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46320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46320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46320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46320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46320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46320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46320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46320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46320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46320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46320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46320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46320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46320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46320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46320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46320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46320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46320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46320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46320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46320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46320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46320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46320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46320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46320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46320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46320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46320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46320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46320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46320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46320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46320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44580</v>
      </c>
      <c r="E71" s="1" t="n">
        <v>46320</v>
      </c>
      <c r="F71" t="inlineStr">
        <is>
          <t>VÄSTRA GÖTALANDS LÄN</t>
        </is>
      </c>
      <c r="G71" t="inlineStr">
        <is>
          <t>TIDAHOLM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46320</v>
      </c>
      <c r="F72" t="inlineStr">
        <is>
          <t>VÄSTRA GÖTALANDS LÄN</t>
        </is>
      </c>
      <c r="G72" t="inlineStr">
        <is>
          <t>TIDAHOLM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46320</v>
      </c>
      <c r="F73" t="inlineStr">
        <is>
          <t>VÄSTRA GÖTALANDS LÄN</t>
        </is>
      </c>
      <c r="G73" t="inlineStr">
        <is>
          <t>TIDAHOLM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46320</v>
      </c>
      <c r="F74" t="inlineStr">
        <is>
          <t>VÄSTRA GÖTALANDS LÄN</t>
        </is>
      </c>
      <c r="G74" t="inlineStr">
        <is>
          <t>TIDAHOLM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46320</v>
      </c>
      <c r="F75" t="inlineStr">
        <is>
          <t>VÄSTRA GÖTALANDS LÄN</t>
        </is>
      </c>
      <c r="G75" t="inlineStr">
        <is>
          <t>TIDAHOLM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46320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46320</v>
      </c>
      <c r="F77" t="inlineStr">
        <is>
          <t>VÄSTRA GÖTALANDS LÄN</t>
        </is>
      </c>
      <c r="G77" t="inlineStr">
        <is>
          <t>TIDAHOLM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46320</v>
      </c>
      <c r="F78" t="inlineStr">
        <is>
          <t>VÄSTRA GÖTALANDS LÄN</t>
        </is>
      </c>
      <c r="G78" t="inlineStr">
        <is>
          <t>TIDAHOLM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46320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45335</v>
      </c>
      <c r="E80" s="1" t="n">
        <v>46320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46320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45899</v>
      </c>
      <c r="E82" s="1" t="n">
        <v>46320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46320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46320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42332-2025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46320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48035-2023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46320</v>
      </c>
      <c r="F86" t="inlineStr">
        <is>
          <t>VÄSTRA GÖTALANDS LÄN</t>
        </is>
      </c>
      <c r="G86" t="inlineStr">
        <is>
          <t>TIDAHOLM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46320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45904</v>
      </c>
      <c r="E88" s="1" t="n">
        <v>46320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46320</v>
      </c>
      <c r="F89" t="inlineStr">
        <is>
          <t>VÄSTRA GÖTALANDS LÄN</t>
        </is>
      </c>
      <c r="G89" t="inlineStr">
        <is>
          <t>TIDAHOLM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45462</v>
      </c>
      <c r="E90" s="1" t="n">
        <v>46320</v>
      </c>
      <c r="F90" t="inlineStr">
        <is>
          <t>VÄSTRA GÖTALANDS LÄN</t>
        </is>
      </c>
      <c r="G90" t="inlineStr">
        <is>
          <t>TIDAHOLM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46320</v>
      </c>
      <c r="F91" t="inlineStr">
        <is>
          <t>VÄSTRA GÖTALANDS LÄN</t>
        </is>
      </c>
      <c r="G91" t="inlineStr">
        <is>
          <t>TIDAHOLM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45068</v>
      </c>
      <c r="E92" s="1" t="n">
        <v>46320</v>
      </c>
      <c r="F92" t="inlineStr">
        <is>
          <t>VÄSTRA GÖTALANDS LÄN</t>
        </is>
      </c>
      <c r="G92" t="inlineStr">
        <is>
          <t>TIDAHOLM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46320</v>
      </c>
      <c r="F93" t="inlineStr">
        <is>
          <t>VÄSTRA GÖTALANDS LÄN</t>
        </is>
      </c>
      <c r="G93" t="inlineStr">
        <is>
          <t>TIDAHOLM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46320</v>
      </c>
      <c r="F94" t="inlineStr">
        <is>
          <t>VÄSTRA GÖTALANDS LÄN</t>
        </is>
      </c>
      <c r="G94" t="inlineStr">
        <is>
          <t>TIDAHOLM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46320</v>
      </c>
      <c r="F95" t="inlineStr">
        <is>
          <t>VÄSTRA GÖTALANDS LÄN</t>
        </is>
      </c>
      <c r="G95" t="inlineStr">
        <is>
          <t>TIDAHOLM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46320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46320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47370-2025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45930</v>
      </c>
      <c r="E98" s="1" t="n">
        <v>46320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46320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46320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Sveaskog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45628</v>
      </c>
      <c r="E101" s="1" t="n">
        <v>46320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46320</v>
      </c>
      <c r="F102" t="inlineStr">
        <is>
          <t>VÄSTRA GÖTALANDS LÄN</t>
        </is>
      </c>
      <c r="G102" t="inlineStr">
        <is>
          <t>TIDAHOLM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46320</v>
      </c>
      <c r="F103" t="inlineStr">
        <is>
          <t>VÄSTRA GÖTALANDS LÄN</t>
        </is>
      </c>
      <c r="G103" t="inlineStr">
        <is>
          <t>TIDAHOLM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46175</v>
      </c>
      <c r="E104" s="1" t="n">
        <v>46320</v>
      </c>
      <c r="F104" t="inlineStr">
        <is>
          <t>VÄSTRA GÖTALANDS LÄN</t>
        </is>
      </c>
      <c r="G104" t="inlineStr">
        <is>
          <t>TIDAHOLM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45530</v>
      </c>
      <c r="E105" s="1" t="n">
        <v>46320</v>
      </c>
      <c r="F105" t="inlineStr">
        <is>
          <t>VÄSTRA GÖTALANDS LÄN</t>
        </is>
      </c>
      <c r="G105" t="inlineStr">
        <is>
          <t>TIDAHOLM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46320</v>
      </c>
      <c r="F106" t="inlineStr">
        <is>
          <t>VÄSTRA GÖTALANDS LÄN</t>
        </is>
      </c>
      <c r="G106" t="inlineStr">
        <is>
          <t>TIDAHOLM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46320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Allmännings- och besparingsskogar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46320</v>
      </c>
      <c r="F108" t="inlineStr">
        <is>
          <t>VÄSTRA GÖTALANDS LÄN</t>
        </is>
      </c>
      <c r="G108" t="inlineStr">
        <is>
          <t>TIDAHOLM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32670-2023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45121</v>
      </c>
      <c r="E109" s="1" t="n">
        <v>46320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Kommuner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46320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Allmännings- och besparingsskogar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46320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45225</v>
      </c>
      <c r="E112" s="1" t="n">
        <v>46320</v>
      </c>
      <c r="F112" t="inlineStr">
        <is>
          <t>VÄSTRA GÖTALANDS LÄN</t>
        </is>
      </c>
      <c r="G112" t="inlineStr">
        <is>
          <t>TIDAHOLM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25260-2026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46320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46320</v>
      </c>
      <c r="F114" t="inlineStr">
        <is>
          <t>VÄSTRA GÖTALANDS LÄN</t>
        </is>
      </c>
      <c r="G114" t="inlineStr">
        <is>
          <t>TIDAHOLM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44766</v>
      </c>
      <c r="E115" s="1" t="n">
        <v>46320</v>
      </c>
      <c r="F115" t="inlineStr">
        <is>
          <t>VÄSTRA GÖTALANDS LÄN</t>
        </is>
      </c>
      <c r="G115" t="inlineStr">
        <is>
          <t>TIDAHOLM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45469</v>
      </c>
      <c r="E116" s="1" t="n">
        <v>46320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45469</v>
      </c>
      <c r="E117" s="1" t="n">
        <v>46320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46320</v>
      </c>
      <c r="F118" t="inlineStr">
        <is>
          <t>VÄSTRA GÖTALANDS LÄN</t>
        </is>
      </c>
      <c r="G118" t="inlineStr">
        <is>
          <t>TIDAHOLM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46320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46320</v>
      </c>
      <c r="F120" t="inlineStr">
        <is>
          <t>VÄSTRA GÖTALANDS LÄN</t>
        </is>
      </c>
      <c r="G120" t="inlineStr">
        <is>
          <t>TIDAHOLM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44945</v>
      </c>
      <c r="E121" s="1" t="n">
        <v>46320</v>
      </c>
      <c r="F121" t="inlineStr">
        <is>
          <t>VÄSTRA GÖTALANDS LÄN</t>
        </is>
      </c>
      <c r="G121" t="inlineStr">
        <is>
          <t>TIDAHOLM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46320</v>
      </c>
      <c r="F122" t="inlineStr">
        <is>
          <t>VÄSTRA GÖTALANDS LÄN</t>
        </is>
      </c>
      <c r="G122" t="inlineStr">
        <is>
          <t>TIDAHOLM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46320</v>
      </c>
      <c r="F123" t="inlineStr">
        <is>
          <t>VÄSTRA GÖTALANDS LÄN</t>
        </is>
      </c>
      <c r="G123" t="inlineStr">
        <is>
          <t>TIDAHOLM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46320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46320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45156</v>
      </c>
      <c r="E126" s="1" t="n">
        <v>46320</v>
      </c>
      <c r="F126" t="inlineStr">
        <is>
          <t>VÄSTRA GÖTALANDS LÄN</t>
        </is>
      </c>
      <c r="G126" t="inlineStr">
        <is>
          <t>TIDAHOLM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45481</v>
      </c>
      <c r="E127" s="1" t="n">
        <v>46320</v>
      </c>
      <c r="F127" t="inlineStr">
        <is>
          <t>VÄSTRA GÖTALANDS LÄN</t>
        </is>
      </c>
      <c r="G127" t="inlineStr">
        <is>
          <t>TIDAHOLM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46191</v>
      </c>
      <c r="E128" s="1" t="n">
        <v>46320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Kyrkan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46320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45967</v>
      </c>
      <c r="E130" s="1" t="n">
        <v>46320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45967</v>
      </c>
      <c r="E131" s="1" t="n">
        <v>46320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45967</v>
      </c>
      <c r="E132" s="1" t="n">
        <v>46320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45967</v>
      </c>
      <c r="E133" s="1" t="n">
        <v>46320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45967</v>
      </c>
      <c r="E134" s="1" t="n">
        <v>46320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45967</v>
      </c>
      <c r="E135" s="1" t="n">
        <v>46320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45968</v>
      </c>
      <c r="E136" s="1" t="n">
        <v>46320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46320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45967</v>
      </c>
      <c r="E138" s="1" t="n">
        <v>46320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46320</v>
      </c>
      <c r="F139" t="inlineStr">
        <is>
          <t>VÄSTRA GÖTALANDS LÄN</t>
        </is>
      </c>
      <c r="G139" t="inlineStr">
        <is>
          <t>TIDAHOLM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45105</v>
      </c>
      <c r="E140" s="1" t="n">
        <v>46320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46320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46320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45979</v>
      </c>
      <c r="E143" s="1" t="n">
        <v>46320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44972</v>
      </c>
      <c r="E144" s="1" t="n">
        <v>46320</v>
      </c>
      <c r="F144" t="inlineStr">
        <is>
          <t>VÄSTRA GÖTALANDS LÄN</t>
        </is>
      </c>
      <c r="G144" t="inlineStr">
        <is>
          <t>TIDAHOLM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46320</v>
      </c>
      <c r="F145" t="inlineStr">
        <is>
          <t>VÄSTRA GÖTALANDS LÄN</t>
        </is>
      </c>
      <c r="G145" t="inlineStr">
        <is>
          <t>TIDAHOLM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46009-2024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45580</v>
      </c>
      <c r="E146" s="1" t="n">
        <v>46320</v>
      </c>
      <c r="F146" t="inlineStr">
        <is>
          <t>VÄSTRA GÖTALANDS LÄN</t>
        </is>
      </c>
      <c r="G146" t="inlineStr">
        <is>
          <t>TIDAHOLM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46320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7917-2023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44973</v>
      </c>
      <c r="E148" s="1" t="n">
        <v>46320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45041</v>
      </c>
      <c r="E149" s="1" t="n">
        <v>46320</v>
      </c>
      <c r="F149" t="inlineStr">
        <is>
          <t>VÄSTRA GÖTALANDS LÄN</t>
        </is>
      </c>
      <c r="G149" t="inlineStr">
        <is>
          <t>TIDAHOLM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46014</v>
      </c>
      <c r="E150" s="1" t="n">
        <v>46320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Kommuner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46320</v>
      </c>
      <c r="F151" t="inlineStr">
        <is>
          <t>VÄSTRA GÖTALANDS LÄN</t>
        </is>
      </c>
      <c r="G151" t="inlineStr">
        <is>
          <t>TIDAHOLM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46320</v>
      </c>
      <c r="F152" t="inlineStr">
        <is>
          <t>VÄSTRA GÖTALANDS LÄN</t>
        </is>
      </c>
      <c r="G152" t="inlineStr">
        <is>
          <t>TIDAHOLM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46320</v>
      </c>
      <c r="F153" t="inlineStr">
        <is>
          <t>VÄSTRA GÖTALANDS LÄN</t>
        </is>
      </c>
      <c r="G153" t="inlineStr">
        <is>
          <t>TIDAHOLM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45464-2024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45576</v>
      </c>
      <c r="E154" s="1" t="n">
        <v>46320</v>
      </c>
      <c r="F154" t="inlineStr">
        <is>
          <t>VÄSTRA GÖTALANDS LÄN</t>
        </is>
      </c>
      <c r="G154" t="inlineStr">
        <is>
          <t>TIDAHOLM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46320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46320</v>
      </c>
      <c r="F156" t="inlineStr">
        <is>
          <t>VÄSTRA GÖTALANDS LÄN</t>
        </is>
      </c>
      <c r="G156" t="inlineStr">
        <is>
          <t>TIDAHOLM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46320</v>
      </c>
      <c r="F157" t="inlineStr">
        <is>
          <t>VÄSTRA GÖTALANDS LÄN</t>
        </is>
      </c>
      <c r="G157" t="inlineStr">
        <is>
          <t>TIDAHOLM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46320</v>
      </c>
      <c r="F158" t="inlineStr">
        <is>
          <t>VÄSTRA GÖTALANDS LÄN</t>
        </is>
      </c>
      <c r="G158" t="inlineStr">
        <is>
          <t>TIDAHOLM</t>
        </is>
      </c>
      <c r="I158" t="n">
        <v>16.2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46320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Kyrkan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45779</v>
      </c>
      <c r="E160" s="1" t="n">
        <v>46320</v>
      </c>
      <c r="F160" t="inlineStr">
        <is>
          <t>VÄSTRA GÖTALANDS LÄN</t>
        </is>
      </c>
      <c r="G160" t="inlineStr">
        <is>
          <t>TIDAHOLM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46320</v>
      </c>
      <c r="F161" t="inlineStr">
        <is>
          <t>VÄSTRA GÖTALANDS LÄN</t>
        </is>
      </c>
      <c r="G161" t="inlineStr">
        <is>
          <t>TIDAHOLM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46320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46320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45473</v>
      </c>
      <c r="E164" s="1" t="n">
        <v>46320</v>
      </c>
      <c r="F164" t="inlineStr">
        <is>
          <t>VÄSTRA GÖTALANDS LÄN</t>
        </is>
      </c>
      <c r="G164" t="inlineStr">
        <is>
          <t>TIDAHOLM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46320</v>
      </c>
      <c r="F165" t="inlineStr">
        <is>
          <t>VÄSTRA GÖTALANDS LÄN</t>
        </is>
      </c>
      <c r="G165" t="inlineStr">
        <is>
          <t>TIDAHOLM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46320</v>
      </c>
      <c r="F166" t="inlineStr">
        <is>
          <t>VÄSTRA GÖTALANDS LÄN</t>
        </is>
      </c>
      <c r="G166" t="inlineStr">
        <is>
          <t>TIDAHOLM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63482-2025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46013</v>
      </c>
      <c r="E167" s="1" t="n">
        <v>46320</v>
      </c>
      <c r="F167" t="inlineStr">
        <is>
          <t>VÄSTRA GÖTALANDS LÄN</t>
        </is>
      </c>
      <c r="G167" t="inlineStr">
        <is>
          <t>TIDAHOLM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46279</v>
      </c>
      <c r="E168" s="1" t="n">
        <v>46320</v>
      </c>
      <c r="F168" t="inlineStr">
        <is>
          <t>VÄSTRA GÖTALANDS LÄN</t>
        </is>
      </c>
      <c r="G168" t="inlineStr">
        <is>
          <t>TIDAHOLM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46021</v>
      </c>
      <c r="E169" s="1" t="n">
        <v>46320</v>
      </c>
      <c r="F169" t="inlineStr">
        <is>
          <t>VÄSTRA GÖTALANDS LÄN</t>
        </is>
      </c>
      <c r="G169" t="inlineStr">
        <is>
          <t>TIDAHOLM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45790</v>
      </c>
      <c r="E170" s="1" t="n">
        <v>46320</v>
      </c>
      <c r="F170" t="inlineStr">
        <is>
          <t>VÄSTRA GÖTALANDS LÄN</t>
        </is>
      </c>
      <c r="G170" t="inlineStr">
        <is>
          <t>TIDAHOLM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33568-2024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45519</v>
      </c>
      <c r="E171" s="1" t="n">
        <v>46320</v>
      </c>
      <c r="F171" t="inlineStr">
        <is>
          <t>VÄSTRA GÖTALANDS LÄN</t>
        </is>
      </c>
      <c r="G171" t="inlineStr">
        <is>
          <t>TIDAHOLM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46320</v>
      </c>
      <c r="F172" t="inlineStr">
        <is>
          <t>VÄSTRA GÖTALANDS LÄN</t>
        </is>
      </c>
      <c r="G172" t="inlineStr">
        <is>
          <t>TIDAHOLM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46320</v>
      </c>
      <c r="F173" t="inlineStr">
        <is>
          <t>VÄSTRA GÖTALANDS LÄN</t>
        </is>
      </c>
      <c r="G173" t="inlineStr">
        <is>
          <t>TIDAHOLM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45711</v>
      </c>
      <c r="E174" s="1" t="n">
        <v>46320</v>
      </c>
      <c r="F174" t="inlineStr">
        <is>
          <t>VÄSTRA GÖTALANDS LÄN</t>
        </is>
      </c>
      <c r="G174" t="inlineStr">
        <is>
          <t>TIDAHOLM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46320</v>
      </c>
      <c r="F175" t="inlineStr">
        <is>
          <t>VÄSTRA GÖTALANDS LÄN</t>
        </is>
      </c>
      <c r="G175" t="inlineStr">
        <is>
          <t>TIDAHOLM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45728</v>
      </c>
      <c r="E176" s="1" t="n">
        <v>46320</v>
      </c>
      <c r="F176" t="inlineStr">
        <is>
          <t>VÄSTRA GÖTALANDS LÄN</t>
        </is>
      </c>
      <c r="G176" t="inlineStr">
        <is>
          <t>TIDAHOLM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56016-2023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46320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Kyrkan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46320</v>
      </c>
      <c r="F178" t="inlineStr">
        <is>
          <t>VÄSTRA GÖTALANDS LÄN</t>
        </is>
      </c>
      <c r="G178" t="inlineStr">
        <is>
          <t>TIDAHOLM</t>
        </is>
      </c>
      <c r="I178" t="n">
        <v>23.4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46320</v>
      </c>
      <c r="F179" t="inlineStr">
        <is>
          <t>VÄSTRA GÖTALANDS LÄN</t>
        </is>
      </c>
      <c r="G179" t="inlineStr">
        <is>
          <t>TIDAHOLM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46320</v>
      </c>
      <c r="F180" t="inlineStr">
        <is>
          <t>VÄSTRA GÖTALANDS LÄN</t>
        </is>
      </c>
      <c r="G180" t="inlineStr">
        <is>
          <t>TIDAHOLM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46320</v>
      </c>
      <c r="F181" t="inlineStr">
        <is>
          <t>VÄSTRA GÖTALANDS LÄN</t>
        </is>
      </c>
      <c r="G181" t="inlineStr">
        <is>
          <t>TIDAHOLM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46320</v>
      </c>
      <c r="F182" t="inlineStr">
        <is>
          <t>VÄSTRA GÖTALANDS LÄN</t>
        </is>
      </c>
      <c r="G182" t="inlineStr">
        <is>
          <t>TIDAHOLM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46320</v>
      </c>
      <c r="F183" t="inlineStr">
        <is>
          <t>VÄSTRA GÖTALANDS LÄN</t>
        </is>
      </c>
      <c r="G183" t="inlineStr">
        <is>
          <t>TIDAHOLM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46064</v>
      </c>
      <c r="E184" s="1" t="n">
        <v>46320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Kommuner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46320</v>
      </c>
      <c r="F185" t="inlineStr">
        <is>
          <t>VÄSTRA GÖTALANDS LÄN</t>
        </is>
      </c>
      <c r="G185" t="inlineStr">
        <is>
          <t>TIDAHOLM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46279</v>
      </c>
      <c r="E186" s="1" t="n">
        <v>46320</v>
      </c>
      <c r="F186" t="inlineStr">
        <is>
          <t>VÄSTRA GÖTALANDS LÄN</t>
        </is>
      </c>
      <c r="G186" t="inlineStr">
        <is>
          <t>TIDAHOLM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46320</v>
      </c>
      <c r="F187" t="inlineStr">
        <is>
          <t>VÄSTRA GÖTALANDS LÄN</t>
        </is>
      </c>
      <c r="G187" t="inlineStr">
        <is>
          <t>TIDAHOLM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46320</v>
      </c>
      <c r="F188" t="inlineStr">
        <is>
          <t>VÄSTRA GÖTALANDS LÄN</t>
        </is>
      </c>
      <c r="G188" t="inlineStr">
        <is>
          <t>TIDAHOLM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46320</v>
      </c>
      <c r="F189" t="inlineStr">
        <is>
          <t>VÄSTRA GÖTALANDS LÄN</t>
        </is>
      </c>
      <c r="G189" t="inlineStr">
        <is>
          <t>TIDAHOLM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46320</v>
      </c>
      <c r="F190" t="inlineStr">
        <is>
          <t>VÄSTRA GÖTALANDS LÄN</t>
        </is>
      </c>
      <c r="G190" t="inlineStr">
        <is>
          <t>TIDAHOLM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46320</v>
      </c>
      <c r="F191" t="inlineStr">
        <is>
          <t>VÄSTRA GÖTALANDS LÄN</t>
        </is>
      </c>
      <c r="G191" t="inlineStr">
        <is>
          <t>TIDAHOLM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45350</v>
      </c>
      <c r="E192" s="1" t="n">
        <v>46320</v>
      </c>
      <c r="F192" t="inlineStr">
        <is>
          <t>VÄSTRA GÖTALANDS LÄN</t>
        </is>
      </c>
      <c r="G192" t="inlineStr">
        <is>
          <t>TIDAHOLM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46320</v>
      </c>
      <c r="F193" t="inlineStr">
        <is>
          <t>VÄSTRA GÖTALANDS LÄN</t>
        </is>
      </c>
      <c r="G193" t="inlineStr">
        <is>
          <t>TIDAHOLM</t>
        </is>
      </c>
      <c r="I193" t="n">
        <v>7.8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46320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Kommuner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46059</v>
      </c>
      <c r="E195" s="1" t="n">
        <v>46320</v>
      </c>
      <c r="F195" t="inlineStr">
        <is>
          <t>VÄSTRA GÖTALANDS LÄN</t>
        </is>
      </c>
      <c r="G195" t="inlineStr">
        <is>
          <t>TIDAHOLM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44997</v>
      </c>
      <c r="E196" s="1" t="n">
        <v>46320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46320</v>
      </c>
      <c r="F197" t="inlineStr">
        <is>
          <t>VÄSTRA GÖTALANDS LÄN</t>
        </is>
      </c>
      <c r="G197" t="inlineStr">
        <is>
          <t>TIDAHOLM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46320</v>
      </c>
      <c r="F198" t="inlineStr">
        <is>
          <t>VÄSTRA GÖTALANDS LÄN</t>
        </is>
      </c>
      <c r="G198" t="inlineStr">
        <is>
          <t>TIDAHOLM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46320</v>
      </c>
      <c r="F199" t="inlineStr">
        <is>
          <t>VÄSTRA GÖTALANDS LÄN</t>
        </is>
      </c>
      <c r="G199" t="inlineStr">
        <is>
          <t>TIDAHOLM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46320</v>
      </c>
      <c r="F200" t="inlineStr">
        <is>
          <t>VÄSTRA GÖTALANDS LÄN</t>
        </is>
      </c>
      <c r="G200" t="inlineStr">
        <is>
          <t>TIDAHOLM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46320</v>
      </c>
      <c r="F201" t="inlineStr">
        <is>
          <t>VÄSTRA GÖTALANDS LÄN</t>
        </is>
      </c>
      <c r="G201" t="inlineStr">
        <is>
          <t>TIDAHOLM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11291-2026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46080</v>
      </c>
      <c r="E202" s="1" t="n">
        <v>46320</v>
      </c>
      <c r="F202" t="inlineStr">
        <is>
          <t>VÄSTRA GÖTALANDS LÄN</t>
        </is>
      </c>
      <c r="G202" t="inlineStr">
        <is>
          <t>TIDAHOLM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11296-2026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46080</v>
      </c>
      <c r="E203" s="1" t="n">
        <v>46320</v>
      </c>
      <c r="F203" t="inlineStr">
        <is>
          <t>VÄSTRA GÖTALANDS LÄN</t>
        </is>
      </c>
      <c r="G203" t="inlineStr">
        <is>
          <t>TIDAHOLM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46320</v>
      </c>
      <c r="F204" t="inlineStr">
        <is>
          <t>VÄSTRA GÖTALANDS LÄN</t>
        </is>
      </c>
      <c r="G204" t="inlineStr">
        <is>
          <t>TIDAHOLM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46320</v>
      </c>
      <c r="F205" t="inlineStr">
        <is>
          <t>VÄSTRA GÖTALANDS LÄN</t>
        </is>
      </c>
      <c r="G205" t="inlineStr">
        <is>
          <t>TIDAHOLM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46320</v>
      </c>
      <c r="F206" t="inlineStr">
        <is>
          <t>VÄSTRA GÖTALANDS LÄN</t>
        </is>
      </c>
      <c r="G206" t="inlineStr">
        <is>
          <t>TIDAHOLM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46320</v>
      </c>
      <c r="F207" t="inlineStr">
        <is>
          <t>VÄSTRA GÖTALANDS LÄN</t>
        </is>
      </c>
      <c r="G207" t="inlineStr">
        <is>
          <t>TIDAHOLM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46251</v>
      </c>
      <c r="E208" s="1" t="n">
        <v>46320</v>
      </c>
      <c r="F208" t="inlineStr">
        <is>
          <t>VÄSTRA GÖTALANDS LÄN</t>
        </is>
      </c>
      <c r="G208" t="inlineStr">
        <is>
          <t>TIDAHOLM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46320</v>
      </c>
      <c r="F209" t="inlineStr">
        <is>
          <t>VÄSTRA GÖTALANDS LÄN</t>
        </is>
      </c>
      <c r="G209" t="inlineStr">
        <is>
          <t>TIDAHOLM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46320</v>
      </c>
      <c r="F210" t="inlineStr">
        <is>
          <t>VÄSTRA GÖTALANDS LÄN</t>
        </is>
      </c>
      <c r="G210" t="inlineStr">
        <is>
          <t>TIDAHOLM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46320</v>
      </c>
      <c r="F211" t="inlineStr">
        <is>
          <t>VÄSTRA GÖTALANDS LÄN</t>
        </is>
      </c>
      <c r="G211" t="inlineStr">
        <is>
          <t>TIDAHOLM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46254</v>
      </c>
      <c r="E212" s="1" t="n">
        <v>46320</v>
      </c>
      <c r="F212" t="inlineStr">
        <is>
          <t>VÄSTRA GÖTALANDS LÄN</t>
        </is>
      </c>
      <c r="G212" t="inlineStr">
        <is>
          <t>TIDAHOLM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46320</v>
      </c>
      <c r="F213" t="inlineStr">
        <is>
          <t>VÄSTRA GÖTALANDS LÄN</t>
        </is>
      </c>
      <c r="G213" t="inlineStr">
        <is>
          <t>TIDAHOLM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46320</v>
      </c>
      <c r="F214" t="inlineStr">
        <is>
          <t>VÄSTRA GÖTALANDS LÄN</t>
        </is>
      </c>
      <c r="G214" t="inlineStr">
        <is>
          <t>TIDAHOLM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45485</v>
      </c>
      <c r="E215" s="1" t="n">
        <v>46320</v>
      </c>
      <c r="F215" t="inlineStr">
        <is>
          <t>VÄSTRA GÖTALANDS LÄN</t>
        </is>
      </c>
      <c r="G215" t="inlineStr">
        <is>
          <t>TIDAHOLM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46320</v>
      </c>
      <c r="F216" t="inlineStr">
        <is>
          <t>VÄSTRA GÖTALANDS LÄN</t>
        </is>
      </c>
      <c r="G216" t="inlineStr">
        <is>
          <t>TIDAHOLM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46320</v>
      </c>
      <c r="F217" t="inlineStr">
        <is>
          <t>VÄSTRA GÖTALANDS LÄN</t>
        </is>
      </c>
      <c r="G217" t="inlineStr">
        <is>
          <t>TIDAHOLM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45821</v>
      </c>
      <c r="E218" s="1" t="n">
        <v>46320</v>
      </c>
      <c r="F218" t="inlineStr">
        <is>
          <t>VÄSTRA GÖTALANDS LÄN</t>
        </is>
      </c>
      <c r="G218" t="inlineStr">
        <is>
          <t>TIDAHOLM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45669</v>
      </c>
      <c r="E219" s="1" t="n">
        <v>46320</v>
      </c>
      <c r="F219" t="inlineStr">
        <is>
          <t>VÄSTRA GÖTALANDS LÄN</t>
        </is>
      </c>
      <c r="G219" t="inlineStr">
        <is>
          <t>TIDAHOLM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46320</v>
      </c>
      <c r="F220" t="inlineStr">
        <is>
          <t>VÄSTRA GÖTALANDS LÄN</t>
        </is>
      </c>
      <c r="G220" t="inlineStr">
        <is>
          <t>TIDAHOLM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45779</v>
      </c>
      <c r="E221" s="1" t="n">
        <v>46320</v>
      </c>
      <c r="F221" t="inlineStr">
        <is>
          <t>VÄSTRA GÖTALANDS LÄN</t>
        </is>
      </c>
      <c r="G221" t="inlineStr">
        <is>
          <t>TIDAHOLM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45469</v>
      </c>
      <c r="E222" s="1" t="n">
        <v>46320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14334-2025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45740</v>
      </c>
      <c r="E223" s="1" t="n">
        <v>46320</v>
      </c>
      <c r="F223" t="inlineStr">
        <is>
          <t>VÄSTRA GÖTALANDS LÄN</t>
        </is>
      </c>
      <c r="G223" t="inlineStr">
        <is>
          <t>TIDAHOLM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68631-2021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46320</v>
      </c>
      <c r="F224" t="inlineStr">
        <is>
          <t>VÄSTRA GÖTALANDS LÄN</t>
        </is>
      </c>
      <c r="G224" t="inlineStr">
        <is>
          <t>TIDAHOLM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45460</v>
      </c>
      <c r="E225" s="1" t="n">
        <v>46320</v>
      </c>
      <c r="F225" t="inlineStr">
        <is>
          <t>VÄSTRA GÖTALANDS LÄN</t>
        </is>
      </c>
      <c r="G225" t="inlineStr">
        <is>
          <t>TIDAHOLM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35388-2025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45855</v>
      </c>
      <c r="E226" s="1" t="n">
        <v>46320</v>
      </c>
      <c r="F226" t="inlineStr">
        <is>
          <t>VÄSTRA GÖTALANDS LÄN</t>
        </is>
      </c>
      <c r="G226" t="inlineStr">
        <is>
          <t>TIDAHOLM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45473</v>
      </c>
      <c r="E227" s="1" t="n">
        <v>46320</v>
      </c>
      <c r="F227" t="inlineStr">
        <is>
          <t>VÄSTRA GÖTALANDS LÄN</t>
        </is>
      </c>
      <c r="G227" t="inlineStr">
        <is>
          <t>TIDAHOLM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46320</v>
      </c>
      <c r="F228" t="inlineStr">
        <is>
          <t>VÄSTRA GÖTALANDS LÄN</t>
        </is>
      </c>
      <c r="G228" t="inlineStr">
        <is>
          <t>TIDAHOLM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45861</v>
      </c>
      <c r="E229" s="1" t="n">
        <v>46320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46114</v>
      </c>
      <c r="E230" s="1" t="n">
        <v>46320</v>
      </c>
      <c r="F230" t="inlineStr">
        <is>
          <t>VÄSTRA GÖTALANDS LÄN</t>
        </is>
      </c>
      <c r="G230" t="inlineStr">
        <is>
          <t>TIDAHOLM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46320</v>
      </c>
      <c r="F231" t="inlineStr">
        <is>
          <t>VÄSTRA GÖTALANDS LÄN</t>
        </is>
      </c>
      <c r="G231" t="inlineStr">
        <is>
          <t>TIDAHOLM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46123</v>
      </c>
      <c r="E232" s="1" t="n">
        <v>46320</v>
      </c>
      <c r="F232" t="inlineStr">
        <is>
          <t>VÄSTRA GÖTALANDS LÄN</t>
        </is>
      </c>
      <c r="G232" t="inlineStr">
        <is>
          <t>TIDAHOLM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45099</v>
      </c>
      <c r="E233" s="1" t="n">
        <v>46320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Kyrkan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46320</v>
      </c>
      <c r="F234" t="inlineStr">
        <is>
          <t>VÄSTRA GÖTALANDS LÄN</t>
        </is>
      </c>
      <c r="G234" t="inlineStr">
        <is>
          <t>TIDAHOLM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46131</v>
      </c>
      <c r="E235" s="1" t="n">
        <v>46320</v>
      </c>
      <c r="F235" t="inlineStr">
        <is>
          <t>VÄSTRA GÖTALANDS LÄN</t>
        </is>
      </c>
      <c r="G235" t="inlineStr">
        <is>
          <t>TIDAHOLM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46320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Allmännings- och besparingsskogar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60646-2022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44911</v>
      </c>
      <c r="E237" s="1" t="n">
        <v>46320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46320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Kyrkan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44630</v>
      </c>
      <c r="E239" s="1" t="n">
        <v>46320</v>
      </c>
      <c r="F239" t="inlineStr">
        <is>
          <t>VÄSTRA GÖTALANDS LÄN</t>
        </is>
      </c>
      <c r="G239" t="inlineStr">
        <is>
          <t>TIDAHOLM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46320</v>
      </c>
      <c r="F240" t="inlineStr">
        <is>
          <t>VÄSTRA GÖTALANDS LÄN</t>
        </is>
      </c>
      <c r="G240" t="inlineStr">
        <is>
          <t>TIDAHOLM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46320</v>
      </c>
      <c r="F241" t="inlineStr">
        <is>
          <t>VÄSTRA GÖTALANDS LÄN</t>
        </is>
      </c>
      <c r="G241" t="inlineStr">
        <is>
          <t>TIDAHOLM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46320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45556</v>
      </c>
      <c r="E243" s="1" t="n">
        <v>46320</v>
      </c>
      <c r="F243" t="inlineStr">
        <is>
          <t>VÄSTRA GÖTALANDS LÄN</t>
        </is>
      </c>
      <c r="G243" t="inlineStr">
        <is>
          <t>TIDAHOLM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44622</v>
      </c>
      <c r="E244" s="1" t="n">
        <v>46320</v>
      </c>
      <c r="F244" t="inlineStr">
        <is>
          <t>VÄSTRA GÖTALANDS LÄN</t>
        </is>
      </c>
      <c r="G244" t="inlineStr">
        <is>
          <t>TIDAHOLM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46267</v>
      </c>
      <c r="E245" s="1" t="n">
        <v>46320</v>
      </c>
      <c r="F245" t="inlineStr">
        <is>
          <t>VÄSTRA GÖTALANDS LÄN</t>
        </is>
      </c>
      <c r="G245" t="inlineStr">
        <is>
          <t>TIDAHOLM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46266</v>
      </c>
      <c r="E246" s="1" t="n">
        <v>46320</v>
      </c>
      <c r="F246" t="inlineStr">
        <is>
          <t>VÄSTRA GÖTALANDS LÄN</t>
        </is>
      </c>
      <c r="G246" t="inlineStr">
        <is>
          <t>TIDAHOLM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45847</v>
      </c>
      <c r="E247" s="1" t="n">
        <v>46320</v>
      </c>
      <c r="F247" t="inlineStr">
        <is>
          <t>VÄSTRA GÖTALANDS LÄN</t>
        </is>
      </c>
      <c r="G247" t="inlineStr">
        <is>
          <t>TIDAHOLM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45165-2025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46320</v>
      </c>
      <c r="F248" t="inlineStr">
        <is>
          <t>VÄSTRA GÖTALANDS LÄN</t>
        </is>
      </c>
      <c r="G248" t="inlineStr">
        <is>
          <t>TIDAHOLM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45007</v>
      </c>
      <c r="E249" s="1" t="n">
        <v>46320</v>
      </c>
      <c r="F249" t="inlineStr">
        <is>
          <t>VÄSTRA GÖTALANDS LÄN</t>
        </is>
      </c>
      <c r="G249" t="inlineStr">
        <is>
          <t>TIDAHOLM</t>
        </is>
      </c>
      <c r="I249" t="n">
        <v>13.8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60207-2022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44910</v>
      </c>
      <c r="E250" s="1" t="n">
        <v>46320</v>
      </c>
      <c r="F250" t="inlineStr">
        <is>
          <t>VÄSTRA GÖTALANDS LÄN</t>
        </is>
      </c>
      <c r="G250" t="inlineStr">
        <is>
          <t>TIDAHOLM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45041</v>
      </c>
      <c r="E251" s="1" t="n">
        <v>46320</v>
      </c>
      <c r="F251" t="inlineStr">
        <is>
          <t>VÄSTRA GÖTALANDS LÄN</t>
        </is>
      </c>
      <c r="G251" t="inlineStr">
        <is>
          <t>TIDAHOLM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57965-2022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46320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45526</v>
      </c>
      <c r="E253" s="1" t="n">
        <v>46320</v>
      </c>
      <c r="F253" t="inlineStr">
        <is>
          <t>VÄSTRA GÖTALANDS LÄN</t>
        </is>
      </c>
      <c r="G253" t="inlineStr">
        <is>
          <t>TIDAHOLM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46320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45687</v>
      </c>
      <c r="E255" s="1" t="n">
        <v>46320</v>
      </c>
      <c r="F255" t="inlineStr">
        <is>
          <t>VÄSTRA GÖTALANDS LÄN</t>
        </is>
      </c>
      <c r="G255" t="inlineStr">
        <is>
          <t>TIDAHOLM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46273</v>
      </c>
      <c r="E256" s="1" t="n">
        <v>46320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46320</v>
      </c>
      <c r="F257" t="inlineStr">
        <is>
          <t>VÄSTRA GÖTALANDS LÄN</t>
        </is>
      </c>
      <c r="G257" t="inlineStr">
        <is>
          <t>TIDAHOLM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54130-2023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46320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Kyrkan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46303</v>
      </c>
      <c r="E259" s="1" t="n">
        <v>46320</v>
      </c>
      <c r="F259" t="inlineStr">
        <is>
          <t>VÄSTRA GÖTALANDS LÄN</t>
        </is>
      </c>
      <c r="G259" t="inlineStr">
        <is>
          <t>TIDAHOLM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35479-2023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45146</v>
      </c>
      <c r="E260" s="1" t="n">
        <v>46320</v>
      </c>
      <c r="F260" t="inlineStr">
        <is>
          <t>VÄSTRA GÖTALANDS LÄN</t>
        </is>
      </c>
      <c r="G260" t="inlineStr">
        <is>
          <t>TIDAHOLM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46320</v>
      </c>
      <c r="F261" t="inlineStr">
        <is>
          <t>VÄSTRA GÖTALANDS LÄN</t>
        </is>
      </c>
      <c r="G261" t="inlineStr">
        <is>
          <t>TIDAHOLM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45779</v>
      </c>
      <c r="E262" s="1" t="n">
        <v>46320</v>
      </c>
      <c r="F262" t="inlineStr">
        <is>
          <t>VÄSTRA GÖTALANDS LÄN</t>
        </is>
      </c>
      <c r="G262" t="inlineStr">
        <is>
          <t>TIDAHOLM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46320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46315</v>
      </c>
      <c r="E264" s="1" t="n">
        <v>46320</v>
      </c>
      <c r="F264" t="inlineStr">
        <is>
          <t>VÄSTRA GÖTALANDS LÄN</t>
        </is>
      </c>
      <c r="G264" t="inlineStr">
        <is>
          <t>TIDAHOLM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46320</v>
      </c>
      <c r="F265" t="inlineStr">
        <is>
          <t>VÄSTRA GÖTALANDS LÄN</t>
        </is>
      </c>
      <c r="G265" t="inlineStr">
        <is>
          <t>TIDAHOLM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46320</v>
      </c>
      <c r="F266" t="inlineStr">
        <is>
          <t>VÄSTRA GÖTALANDS LÄN</t>
        </is>
      </c>
      <c r="G266" t="inlineStr">
        <is>
          <t>TIDAHOLM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49786-2023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46320</v>
      </c>
      <c r="F267" t="inlineStr">
        <is>
          <t>VÄSTRA GÖTALANDS LÄN</t>
        </is>
      </c>
      <c r="G267" t="inlineStr">
        <is>
          <t>TIDAHOLM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46315</v>
      </c>
      <c r="E268" s="1" t="n">
        <v>46320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Allmännings- och besparingsskogar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46315</v>
      </c>
      <c r="E269" s="1" t="n">
        <v>46320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Allmännings- och besparingsskogar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11444-2022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44630</v>
      </c>
      <c r="E270" s="1" t="n">
        <v>46320</v>
      </c>
      <c r="F270" t="inlineStr">
        <is>
          <t>VÄSTRA GÖTALANDS LÄN</t>
        </is>
      </c>
      <c r="G270" t="inlineStr">
        <is>
          <t>TIDAHOLM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44930</v>
      </c>
      <c r="E271" s="1" t="n">
        <v>46320</v>
      </c>
      <c r="F271" t="inlineStr">
        <is>
          <t>VÄSTRA GÖTALANDS LÄN</t>
        </is>
      </c>
      <c r="G271" t="inlineStr">
        <is>
          <t>TIDAHOLM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46315</v>
      </c>
      <c r="E272" s="1" t="n">
        <v>46320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Allmännings- och besparingsskogar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45594</v>
      </c>
      <c r="E273" s="1" t="n">
        <v>46320</v>
      </c>
      <c r="F273" t="inlineStr">
        <is>
          <t>VÄSTRA GÖTALANDS LÄN</t>
        </is>
      </c>
      <c r="G273" t="inlineStr">
        <is>
          <t>TIDAHOLM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45548</v>
      </c>
      <c r="E274" s="1" t="n">
        <v>46320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46320</v>
      </c>
      <c r="F275" t="inlineStr">
        <is>
          <t>VÄSTRA GÖTALANDS LÄN</t>
        </is>
      </c>
      <c r="G275" t="inlineStr">
        <is>
          <t>TIDAHOLM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46320</v>
      </c>
      <c r="F276" t="inlineStr">
        <is>
          <t>VÄSTRA GÖTALANDS LÄN</t>
        </is>
      </c>
      <c r="G276" t="inlineStr">
        <is>
          <t>TIDAHOLM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46320</v>
      </c>
      <c r="F277" t="inlineStr">
        <is>
          <t>VÄSTRA GÖTALANDS LÄN</t>
        </is>
      </c>
      <c r="G277" t="inlineStr">
        <is>
          <t>TIDAHOLM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45684</v>
      </c>
      <c r="E278" s="1" t="n">
        <v>46320</v>
      </c>
      <c r="F278" t="inlineStr">
        <is>
          <t>VÄSTRA GÖTALANDS LÄN</t>
        </is>
      </c>
      <c r="G278" t="inlineStr">
        <is>
          <t>TIDAHOLM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7904-2025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46320</v>
      </c>
      <c r="F279" t="inlineStr">
        <is>
          <t>VÄSTRA GÖTALANDS LÄN</t>
        </is>
      </c>
      <c r="G279" t="inlineStr">
        <is>
          <t>TIDAHOLM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46320</v>
      </c>
      <c r="F280" t="inlineStr">
        <is>
          <t>VÄSTRA GÖTALANDS LÄN</t>
        </is>
      </c>
      <c r="G280" t="inlineStr">
        <is>
          <t>TIDAHOLM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49865-2024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45596</v>
      </c>
      <c r="E281" s="1" t="n">
        <v>46320</v>
      </c>
      <c r="F281" t="inlineStr">
        <is>
          <t>VÄSTRA GÖTALANDS LÄN</t>
        </is>
      </c>
      <c r="G281" t="inlineStr">
        <is>
          <t>TIDAHOLM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46320</v>
      </c>
      <c r="F282" t="inlineStr">
        <is>
          <t>VÄSTRA GÖTALANDS LÄN</t>
        </is>
      </c>
      <c r="G282" t="inlineStr">
        <is>
          <t>TIDAHOLM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46320</v>
      </c>
      <c r="F283" t="inlineStr">
        <is>
          <t>VÄSTRA GÖTALANDS LÄN</t>
        </is>
      </c>
      <c r="G283" t="inlineStr">
        <is>
          <t>TIDAHOLM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51287-2024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46320</v>
      </c>
      <c r="F284" t="inlineStr">
        <is>
          <t>VÄSTRA GÖTALANDS LÄN</t>
        </is>
      </c>
      <c r="G284" t="inlineStr">
        <is>
          <t>TIDAHOLM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51288-2024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46320</v>
      </c>
      <c r="F285" t="inlineStr">
        <is>
          <t>VÄSTRA GÖTALANDS LÄN</t>
        </is>
      </c>
      <c r="G285" t="inlineStr">
        <is>
          <t>TIDAHOLM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46113-2024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46320</v>
      </c>
      <c r="F286" t="inlineStr">
        <is>
          <t>VÄSTRA GÖTALANDS LÄN</t>
        </is>
      </c>
      <c r="G286" t="inlineStr">
        <is>
          <t>TIDAHOLM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45392</v>
      </c>
      <c r="E287" s="1" t="n">
        <v>46320</v>
      </c>
      <c r="F287" t="inlineStr">
        <is>
          <t>VÄSTRA GÖTALANDS LÄN</t>
        </is>
      </c>
      <c r="G287" t="inlineStr">
        <is>
          <t>TIDAHOLM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46320</v>
      </c>
      <c r="F288" t="inlineStr">
        <is>
          <t>VÄSTRA GÖTALANDS LÄN</t>
        </is>
      </c>
      <c r="G288" t="inlineStr">
        <is>
          <t>TIDAHOLM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45814</v>
      </c>
      <c r="E289" s="1" t="n">
        <v>46320</v>
      </c>
      <c r="F289" t="inlineStr">
        <is>
          <t>VÄSTRA GÖTALANDS LÄN</t>
        </is>
      </c>
      <c r="G289" t="inlineStr">
        <is>
          <t>TIDAHOLM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14907-2023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45013</v>
      </c>
      <c r="E290" s="1" t="n">
        <v>46320</v>
      </c>
      <c r="F290" t="inlineStr">
        <is>
          <t>VÄSTRA GÖTALANDS LÄN</t>
        </is>
      </c>
      <c r="G290" t="inlineStr">
        <is>
          <t>TIDAHOLM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45580</v>
      </c>
      <c r="E291" s="1" t="n">
        <v>46320</v>
      </c>
      <c r="F291" t="inlineStr">
        <is>
          <t>VÄSTRA GÖTALANDS LÄN</t>
        </is>
      </c>
      <c r="G291" t="inlineStr">
        <is>
          <t>TIDAHOLM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45643</v>
      </c>
      <c r="E292" s="1" t="n">
        <v>46320</v>
      </c>
      <c r="F292" t="inlineStr">
        <is>
          <t>VÄSTRA GÖTALANDS LÄN</t>
        </is>
      </c>
      <c r="G292" t="inlineStr">
        <is>
          <t>TIDAHOLM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44994</v>
      </c>
      <c r="E293" s="1" t="n">
        <v>46320</v>
      </c>
      <c r="F293" t="inlineStr">
        <is>
          <t>VÄSTRA GÖTALANDS LÄN</t>
        </is>
      </c>
      <c r="G293" t="inlineStr">
        <is>
          <t>TIDAHOLM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46320</v>
      </c>
      <c r="F294" t="inlineStr">
        <is>
          <t>VÄSTRA GÖTALANDS LÄN</t>
        </is>
      </c>
      <c r="G294" t="inlineStr">
        <is>
          <t>TIDAHOLM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45000</v>
      </c>
      <c r="E295" s="1" t="n">
        <v>46320</v>
      </c>
      <c r="F295" t="inlineStr">
        <is>
          <t>VÄSTRA GÖTALANDS LÄN</t>
        </is>
      </c>
      <c r="G295" t="inlineStr">
        <is>
          <t>TIDAHOLM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46320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45414</v>
      </c>
      <c r="E297" s="1" t="n">
        <v>46320</v>
      </c>
      <c r="F297" t="inlineStr">
        <is>
          <t>VÄSTRA GÖTALANDS LÄN</t>
        </is>
      </c>
      <c r="G297" t="inlineStr">
        <is>
          <t>TIDAHOLM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46320</v>
      </c>
      <c r="F298" t="inlineStr">
        <is>
          <t>VÄSTRA GÖTALANDS LÄN</t>
        </is>
      </c>
      <c r="G298" t="inlineStr">
        <is>
          <t>TIDAHOLM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45594</v>
      </c>
      <c r="E299" s="1" t="n">
        <v>46320</v>
      </c>
      <c r="F299" t="inlineStr">
        <is>
          <t>VÄSTRA GÖTALANDS LÄN</t>
        </is>
      </c>
      <c r="G299" t="inlineStr">
        <is>
          <t>TIDAHOLM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46320</v>
      </c>
      <c r="F300" t="inlineStr">
        <is>
          <t>VÄSTRA GÖTALANDS LÄN</t>
        </is>
      </c>
      <c r="G300" t="inlineStr">
        <is>
          <t>TIDAHOLM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45630</v>
      </c>
      <c r="E301" s="1" t="n">
        <v>46320</v>
      </c>
      <c r="F301" t="inlineStr">
        <is>
          <t>VÄSTRA GÖTALANDS LÄN</t>
        </is>
      </c>
      <c r="G301" t="inlineStr">
        <is>
          <t>TIDAHOLM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36194-2024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45534</v>
      </c>
      <c r="E302" s="1" t="n">
        <v>46320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Allmännings- och besparingsskogar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46320</v>
      </c>
      <c r="F303" t="inlineStr">
        <is>
          <t>VÄSTRA GÖTALANDS LÄN</t>
        </is>
      </c>
      <c r="G303" t="inlineStr">
        <is>
          <t>TIDAHOLM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44783</v>
      </c>
      <c r="E304" s="1" t="n">
        <v>46320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45709</v>
      </c>
      <c r="E305" s="1" t="n">
        <v>46320</v>
      </c>
      <c r="F305" t="inlineStr">
        <is>
          <t>VÄSTRA GÖTALANDS LÄN</t>
        </is>
      </c>
      <c r="G305" t="inlineStr">
        <is>
          <t>TIDAHOLM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46320</v>
      </c>
      <c r="F306" t="inlineStr">
        <is>
          <t>VÄSTRA GÖTALANDS LÄN</t>
        </is>
      </c>
      <c r="G306" t="inlineStr">
        <is>
          <t>TIDAHOLM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45443</v>
      </c>
      <c r="E307" s="1" t="n">
        <v>46320</v>
      </c>
      <c r="F307" t="inlineStr">
        <is>
          <t>VÄSTRA GÖTALANDS LÄN</t>
        </is>
      </c>
      <c r="G307" t="inlineStr">
        <is>
          <t>TIDAHOLM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44580</v>
      </c>
      <c r="E308" s="1" t="n">
        <v>46320</v>
      </c>
      <c r="F308" t="inlineStr">
        <is>
          <t>VÄSTRA GÖTALANDS LÄN</t>
        </is>
      </c>
      <c r="G308" t="inlineStr">
        <is>
          <t>TIDAHOLM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45744</v>
      </c>
      <c r="E309" s="1" t="n">
        <v>46320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69446-2021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44531</v>
      </c>
      <c r="E310" s="1" t="n">
        <v>46320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Kyrkan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74340-2021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44559</v>
      </c>
      <c r="E311" s="1" t="n">
        <v>46320</v>
      </c>
      <c r="F311" t="inlineStr">
        <is>
          <t>VÄSTRA GÖTALANDS LÄN</t>
        </is>
      </c>
      <c r="G311" t="inlineStr">
        <is>
          <t>TIDAHOLM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46320</v>
      </c>
      <c r="F312" t="inlineStr">
        <is>
          <t>VÄSTRA GÖTALANDS LÄN</t>
        </is>
      </c>
      <c r="G312" t="inlineStr">
        <is>
          <t>TIDAHOLM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44865</v>
      </c>
      <c r="E313" s="1" t="n">
        <v>46320</v>
      </c>
      <c r="F313" t="inlineStr">
        <is>
          <t>VÄSTRA GÖTALANDS LÄN</t>
        </is>
      </c>
      <c r="G313" t="inlineStr">
        <is>
          <t>TIDAHOLM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46320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16382-2023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45029</v>
      </c>
      <c r="E315" s="1" t="n">
        <v>46320</v>
      </c>
      <c r="F315" t="inlineStr">
        <is>
          <t>VÄSTRA GÖTALANDS LÄN</t>
        </is>
      </c>
      <c r="G315" t="inlineStr">
        <is>
          <t>TIDAHOLM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39570-2023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45167</v>
      </c>
      <c r="E316" s="1" t="n">
        <v>46320</v>
      </c>
      <c r="F316" t="inlineStr">
        <is>
          <t>VÄSTRA GÖTALANDS LÄN</t>
        </is>
      </c>
      <c r="G316" t="inlineStr">
        <is>
          <t>TIDAHOLM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58988-2022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44903</v>
      </c>
      <c r="E317" s="1" t="n">
        <v>46320</v>
      </c>
      <c r="F317" t="inlineStr">
        <is>
          <t>VÄSTRA GÖTALANDS LÄN</t>
        </is>
      </c>
      <c r="G317" t="inlineStr">
        <is>
          <t>TIDAHOLM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45495</v>
      </c>
      <c r="E318" s="1" t="n">
        <v>46320</v>
      </c>
      <c r="F318" t="inlineStr">
        <is>
          <t>VÄSTRA GÖTALANDS LÄN</t>
        </is>
      </c>
      <c r="G318" t="inlineStr">
        <is>
          <t>TIDAHOLM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30677-2024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45495</v>
      </c>
      <c r="E319" s="1" t="n">
        <v>46320</v>
      </c>
      <c r="F319" t="inlineStr">
        <is>
          <t>VÄSTRA GÖTALANDS LÄN</t>
        </is>
      </c>
      <c r="G319" t="inlineStr">
        <is>
          <t>TIDAHOLM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45362</v>
      </c>
      <c r="E320" s="1" t="n">
        <v>46320</v>
      </c>
      <c r="F320" t="inlineStr">
        <is>
          <t>VÄSTRA GÖTALANDS LÄN</t>
        </is>
      </c>
      <c r="G320" t="inlineStr">
        <is>
          <t>TIDAHOLM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45103</v>
      </c>
      <c r="E321" s="1" t="n">
        <v>46320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46320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Kyrkan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61362-2022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44915</v>
      </c>
      <c r="E323" s="1" t="n">
        <v>46320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46320</v>
      </c>
      <c r="F324" t="inlineStr">
        <is>
          <t>VÄSTRA GÖTALANDS LÄN</t>
        </is>
      </c>
      <c r="G324" t="inlineStr">
        <is>
          <t>TIDAHOLM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44831</v>
      </c>
      <c r="E325" s="1" t="n">
        <v>46320</v>
      </c>
      <c r="F325" t="inlineStr">
        <is>
          <t>VÄSTRA GÖTALANDS LÄN</t>
        </is>
      </c>
      <c r="G325" t="inlineStr">
        <is>
          <t>TIDAHOLM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45006</v>
      </c>
      <c r="E326" s="1" t="n">
        <v>46320</v>
      </c>
      <c r="F326" t="inlineStr">
        <is>
          <t>VÄSTRA GÖTALANDS LÄN</t>
        </is>
      </c>
      <c r="G326" t="inlineStr">
        <is>
          <t>TIDAHOLM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45276-2024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45576</v>
      </c>
      <c r="E327" s="1" t="n">
        <v>46320</v>
      </c>
      <c r="F327" t="inlineStr">
        <is>
          <t>VÄSTRA GÖTALANDS LÄN</t>
        </is>
      </c>
      <c r="G327" t="inlineStr">
        <is>
          <t>TIDAHOLM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46320</v>
      </c>
      <c r="F328" t="inlineStr">
        <is>
          <t>VÄSTRA GÖTALANDS LÄN</t>
        </is>
      </c>
      <c r="G328" t="inlineStr">
        <is>
          <t>TIDAHOLM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45608</v>
      </c>
      <c r="E329" s="1" t="n">
        <v>46320</v>
      </c>
      <c r="F329" t="inlineStr">
        <is>
          <t>VÄSTRA GÖTALANDS LÄN</t>
        </is>
      </c>
      <c r="G329" t="inlineStr">
        <is>
          <t>TIDAHOLM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72683-2021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44546</v>
      </c>
      <c r="E330" s="1" t="n">
        <v>46320</v>
      </c>
      <c r="F330" t="inlineStr">
        <is>
          <t>VÄSTRA GÖTALANDS LÄN</t>
        </is>
      </c>
      <c r="G330" t="inlineStr">
        <is>
          <t>TIDAHOLM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46320</v>
      </c>
      <c r="F331" t="inlineStr">
        <is>
          <t>VÄSTRA GÖTALANDS LÄN</t>
        </is>
      </c>
      <c r="G331" t="inlineStr">
        <is>
          <t>TIDAHOLM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45120</v>
      </c>
      <c r="E332" s="1" t="n">
        <v>46320</v>
      </c>
      <c r="F332" t="inlineStr">
        <is>
          <t>VÄSTRA GÖTALANDS LÄN</t>
        </is>
      </c>
      <c r="G332" t="inlineStr">
        <is>
          <t>TIDAHOLM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46320</v>
      </c>
      <c r="F333" t="inlineStr">
        <is>
          <t>VÄSTRA GÖTALANDS LÄN</t>
        </is>
      </c>
      <c r="G333" t="inlineStr">
        <is>
          <t>TIDAHOLM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22086-2024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46320</v>
      </c>
      <c r="F334" t="inlineStr">
        <is>
          <t>VÄSTRA GÖTALANDS LÄN</t>
        </is>
      </c>
      <c r="G334" t="inlineStr">
        <is>
          <t>TIDAHOLM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26534-2024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46320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46320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46320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45047</v>
      </c>
      <c r="E338" s="1" t="n">
        <v>46320</v>
      </c>
      <c r="F338" t="inlineStr">
        <is>
          <t>VÄSTRA GÖTALANDS LÄN</t>
        </is>
      </c>
      <c r="G338" t="inlineStr">
        <is>
          <t>TIDAHOLM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45758</v>
      </c>
      <c r="E339" s="1" t="n">
        <v>46320</v>
      </c>
      <c r="F339" t="inlineStr">
        <is>
          <t>VÄSTRA GÖTALANDS LÄN</t>
        </is>
      </c>
      <c r="G339" t="inlineStr">
        <is>
          <t>TIDAHOLM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45669</v>
      </c>
      <c r="E340" s="1" t="n">
        <v>46320</v>
      </c>
      <c r="F340" t="inlineStr">
        <is>
          <t>VÄSTRA GÖTALANDS LÄN</t>
        </is>
      </c>
      <c r="G340" t="inlineStr">
        <is>
          <t>TIDAHOLM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44817</v>
      </c>
      <c r="E341" s="1" t="n">
        <v>46320</v>
      </c>
      <c r="F341" t="inlineStr">
        <is>
          <t>VÄSTRA GÖTALANDS LÄN</t>
        </is>
      </c>
      <c r="G341" t="inlineStr">
        <is>
          <t>TIDAHOLM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57573-2024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46320</v>
      </c>
      <c r="F342" t="inlineStr">
        <is>
          <t>VÄSTRA GÖTALANDS LÄN</t>
        </is>
      </c>
      <c r="G342" t="inlineStr">
        <is>
          <t>TIDAHOLM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45721</v>
      </c>
      <c r="E343" s="1" t="n">
        <v>46320</v>
      </c>
      <c r="F343" t="inlineStr">
        <is>
          <t>VÄSTRA GÖTALANDS LÄN</t>
        </is>
      </c>
      <c r="G343" t="inlineStr">
        <is>
          <t>TIDAHOLM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46320</v>
      </c>
      <c r="F344" t="inlineStr">
        <is>
          <t>VÄSTRA GÖTALANDS LÄN</t>
        </is>
      </c>
      <c r="G344" t="inlineStr">
        <is>
          <t>TIDAHOLM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45030</v>
      </c>
      <c r="E345" s="1" t="n">
        <v>46320</v>
      </c>
      <c r="F345" t="inlineStr">
        <is>
          <t>VÄSTRA GÖTALANDS LÄN</t>
        </is>
      </c>
      <c r="G345" t="inlineStr">
        <is>
          <t>TIDAHOLM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46320</v>
      </c>
      <c r="F346" t="inlineStr">
        <is>
          <t>VÄSTRA GÖTALANDS LÄN</t>
        </is>
      </c>
      <c r="G346" t="inlineStr">
        <is>
          <t>TIDAHOLM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45594</v>
      </c>
      <c r="E347" s="1" t="n">
        <v>46320</v>
      </c>
      <c r="F347" t="inlineStr">
        <is>
          <t>VÄSTRA GÖTALANDS LÄN</t>
        </is>
      </c>
      <c r="G347" t="inlineStr">
        <is>
          <t>TIDAHOLM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8724-2024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46320</v>
      </c>
      <c r="F348" t="inlineStr">
        <is>
          <t>VÄSTRA GÖTALANDS LÄN</t>
        </is>
      </c>
      <c r="G348" t="inlineStr">
        <is>
          <t>TIDAHOLM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45205</v>
      </c>
      <c r="E349" s="1" t="n">
        <v>46320</v>
      </c>
      <c r="F349" t="inlineStr">
        <is>
          <t>VÄSTRA GÖTALANDS LÄN</t>
        </is>
      </c>
      <c r="G349" t="inlineStr">
        <is>
          <t>TIDAHOLM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46320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22.5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44610</v>
      </c>
      <c r="E351" s="1" t="n">
        <v>46320</v>
      </c>
      <c r="F351" t="inlineStr">
        <is>
          <t>VÄSTRA GÖTALANDS LÄN</t>
        </is>
      </c>
      <c r="G351" t="inlineStr">
        <is>
          <t>TIDAHOLM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45623</v>
      </c>
      <c r="E352" s="1" t="n">
        <v>46320</v>
      </c>
      <c r="F352" t="inlineStr">
        <is>
          <t>VÄSTRA GÖTALANDS LÄN</t>
        </is>
      </c>
      <c r="G352" t="inlineStr">
        <is>
          <t>TIDAHOLM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46320</v>
      </c>
      <c r="F353" t="inlineStr">
        <is>
          <t>VÄSTRA GÖTALANDS LÄN</t>
        </is>
      </c>
      <c r="G353" t="inlineStr">
        <is>
          <t>TIDAHOLM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46320</v>
      </c>
      <c r="F354" t="inlineStr">
        <is>
          <t>VÄSTRA GÖTALANDS LÄN</t>
        </is>
      </c>
      <c r="G354" t="inlineStr">
        <is>
          <t>TIDAHOLM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45637</v>
      </c>
      <c r="E355" s="1" t="n">
        <v>46320</v>
      </c>
      <c r="F355" t="inlineStr">
        <is>
          <t>VÄSTRA GÖTALANDS LÄN</t>
        </is>
      </c>
      <c r="G355" t="inlineStr">
        <is>
          <t>TIDAHOLM</t>
        </is>
      </c>
      <c r="I355" t="n">
        <v>9.5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54298-2023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46320</v>
      </c>
      <c r="F356" t="inlineStr">
        <is>
          <t>VÄSTRA GÖTALANDS LÄN</t>
        </is>
      </c>
      <c r="G356" t="inlineStr">
        <is>
          <t>TIDAHOLM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46320</v>
      </c>
      <c r="F357" t="inlineStr">
        <is>
          <t>VÄSTRA GÖTALANDS LÄN</t>
        </is>
      </c>
      <c r="G357" t="inlineStr">
        <is>
          <t>TIDAHOLM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19572-2022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44693</v>
      </c>
      <c r="E358" s="1" t="n">
        <v>46320</v>
      </c>
      <c r="F358" t="inlineStr">
        <is>
          <t>VÄSTRA GÖTALANDS LÄN</t>
        </is>
      </c>
      <c r="G358" t="inlineStr">
        <is>
          <t>TIDAHOLM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12026-2022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44636</v>
      </c>
      <c r="E359" s="1" t="n">
        <v>46320</v>
      </c>
      <c r="F359" t="inlineStr">
        <is>
          <t>VÄSTRA GÖTALANDS LÄN</t>
        </is>
      </c>
      <c r="G359" t="inlineStr">
        <is>
          <t>TIDAHOLM</t>
        </is>
      </c>
      <c r="I359" t="n">
        <v>18.8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17826-2025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46320</v>
      </c>
      <c r="F360" t="inlineStr">
        <is>
          <t>VÄSTRA GÖTALANDS LÄN</t>
        </is>
      </c>
      <c r="G360" t="inlineStr">
        <is>
          <t>TIDAHOLM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45358</v>
      </c>
      <c r="E361" s="1" t="n">
        <v>46320</v>
      </c>
      <c r="F361" t="inlineStr">
        <is>
          <t>VÄSTRA GÖTALANDS LÄN</t>
        </is>
      </c>
      <c r="G361" t="inlineStr">
        <is>
          <t>TIDAHOLM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60353-2023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46320</v>
      </c>
      <c r="F362" t="inlineStr">
        <is>
          <t>VÄSTRA GÖTALANDS LÄN</t>
        </is>
      </c>
      <c r="G362" t="inlineStr">
        <is>
          <t>TIDAHOLM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46320</v>
      </c>
      <c r="F363" t="inlineStr">
        <is>
          <t>VÄSTRA GÖTALANDS LÄN</t>
        </is>
      </c>
      <c r="G363" t="inlineStr">
        <is>
          <t>TIDAHOLM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23283-2022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44720</v>
      </c>
      <c r="E364" s="1" t="n">
        <v>46320</v>
      </c>
      <c r="F364" t="inlineStr">
        <is>
          <t>VÄSTRA GÖTALANDS LÄN</t>
        </is>
      </c>
      <c r="G364" t="inlineStr">
        <is>
          <t>TIDAHOLM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18249-2022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44685</v>
      </c>
      <c r="E365" s="1" t="n">
        <v>46320</v>
      </c>
      <c r="F365" t="inlineStr">
        <is>
          <t>VÄSTRA GÖTALANDS LÄN</t>
        </is>
      </c>
      <c r="G365" t="inlineStr">
        <is>
          <t>TIDAHOLM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45752</v>
      </c>
      <c r="E366" s="1" t="n">
        <v>46320</v>
      </c>
      <c r="F366" t="inlineStr">
        <is>
          <t>VÄSTRA GÖTALANDS LÄN</t>
        </is>
      </c>
      <c r="G366" t="inlineStr">
        <is>
          <t>TIDAHOLM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44720</v>
      </c>
      <c r="E367" s="1" t="n">
        <v>46320</v>
      </c>
      <c r="F367" t="inlineStr">
        <is>
          <t>VÄSTRA GÖTALANDS LÄN</t>
        </is>
      </c>
      <c r="G367" t="inlineStr">
        <is>
          <t>TIDAHOLM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46320</v>
      </c>
      <c r="F368" t="inlineStr">
        <is>
          <t>VÄSTRA GÖTALANDS LÄN</t>
        </is>
      </c>
      <c r="G368" t="inlineStr">
        <is>
          <t>TIDAHOLM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45265</v>
      </c>
      <c r="E369" s="1" t="n">
        <v>46320</v>
      </c>
      <c r="F369" t="inlineStr">
        <is>
          <t>VÄSTRA GÖTALANDS LÄN</t>
        </is>
      </c>
      <c r="G369" t="inlineStr">
        <is>
          <t>TIDAHOLM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45265</v>
      </c>
      <c r="E370" s="1" t="n">
        <v>46320</v>
      </c>
      <c r="F370" t="inlineStr">
        <is>
          <t>VÄSTRA GÖTALANDS LÄN</t>
        </is>
      </c>
      <c r="G370" t="inlineStr">
        <is>
          <t>TIDAHOLM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46320</v>
      </c>
      <c r="F371" t="inlineStr">
        <is>
          <t>VÄSTRA GÖTALANDS LÄN</t>
        </is>
      </c>
      <c r="G371" t="inlineStr">
        <is>
          <t>TIDAHOLM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44973</v>
      </c>
      <c r="E372" s="1" t="n">
        <v>46320</v>
      </c>
      <c r="F372" t="inlineStr">
        <is>
          <t>VÄSTRA GÖTALANDS LÄN</t>
        </is>
      </c>
      <c r="G372" t="inlineStr">
        <is>
          <t>TIDAHOLM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45336</v>
      </c>
      <c r="E373" s="1" t="n">
        <v>46320</v>
      </c>
      <c r="F373" t="inlineStr">
        <is>
          <t>VÄSTRA GÖTALANDS LÄN</t>
        </is>
      </c>
      <c r="G373" t="inlineStr">
        <is>
          <t>TIDAHOLM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46320</v>
      </c>
      <c r="F374" t="inlineStr">
        <is>
          <t>VÄSTRA GÖTALANDS LÄN</t>
        </is>
      </c>
      <c r="G374" t="inlineStr">
        <is>
          <t>TIDAHOLM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45311</v>
      </c>
      <c r="E375" s="1" t="n">
        <v>46320</v>
      </c>
      <c r="F375" t="inlineStr">
        <is>
          <t>VÄSTRA GÖTALANDS LÄN</t>
        </is>
      </c>
      <c r="G375" t="inlineStr">
        <is>
          <t>TIDAHOLM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46320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64874-2023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45282</v>
      </c>
      <c r="E377" s="1" t="n">
        <v>46320</v>
      </c>
      <c r="F377" t="inlineStr">
        <is>
          <t>VÄSTRA GÖTALANDS LÄN</t>
        </is>
      </c>
      <c r="G377" t="inlineStr">
        <is>
          <t>TIDAHOLM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46320</v>
      </c>
      <c r="F378" t="inlineStr">
        <is>
          <t>VÄSTRA GÖTALANDS LÄN</t>
        </is>
      </c>
      <c r="G378" t="inlineStr">
        <is>
          <t>TIDAHOLM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9949-2023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44985</v>
      </c>
      <c r="E379" s="1" t="n">
        <v>46320</v>
      </c>
      <c r="F379" t="inlineStr">
        <is>
          <t>VÄSTRA GÖTALANDS LÄN</t>
        </is>
      </c>
      <c r="G379" t="inlineStr">
        <is>
          <t>TIDAHOLM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59460-2022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44907</v>
      </c>
      <c r="E380" s="1" t="n">
        <v>46320</v>
      </c>
      <c r="F380" t="inlineStr">
        <is>
          <t>VÄSTRA GÖTALANDS LÄN</t>
        </is>
      </c>
      <c r="G380" t="inlineStr">
        <is>
          <t>TIDAHOLM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45469</v>
      </c>
      <c r="E381" s="1" t="n">
        <v>46320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73728-2021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44552</v>
      </c>
      <c r="E382" s="1" t="n">
        <v>46320</v>
      </c>
      <c r="F382" t="inlineStr">
        <is>
          <t>VÄSTRA GÖTALANDS LÄN</t>
        </is>
      </c>
      <c r="G382" t="inlineStr">
        <is>
          <t>TIDAHOLM</t>
        </is>
      </c>
      <c r="I382" t="n">
        <v>9.4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61587-2021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44501</v>
      </c>
      <c r="E383" s="1" t="n">
        <v>46320</v>
      </c>
      <c r="F383" t="inlineStr">
        <is>
          <t>VÄSTRA GÖTALANDS LÄN</t>
        </is>
      </c>
      <c r="G383" t="inlineStr">
        <is>
          <t>TIDAHOLM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46320</v>
      </c>
      <c r="F384" t="inlineStr">
        <is>
          <t>VÄSTRA GÖTALANDS LÄN</t>
        </is>
      </c>
      <c r="G384" t="inlineStr">
        <is>
          <t>TIDAHOLM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45665</v>
      </c>
      <c r="E385" s="1" t="n">
        <v>46320</v>
      </c>
      <c r="F385" t="inlineStr">
        <is>
          <t>VÄSTRA GÖTALANDS LÄN</t>
        </is>
      </c>
      <c r="G385" t="inlineStr">
        <is>
          <t>TIDAHOLM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45016</v>
      </c>
      <c r="E386" s="1" t="n">
        <v>46320</v>
      </c>
      <c r="F386" t="inlineStr">
        <is>
          <t>VÄSTRA GÖTALANDS LÄN</t>
        </is>
      </c>
      <c r="G386" t="inlineStr">
        <is>
          <t>TIDAHOLM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45099</v>
      </c>
      <c r="E387" s="1" t="n">
        <v>46320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Kyrkan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23044-2022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44719</v>
      </c>
      <c r="E388" s="1" t="n">
        <v>46320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60252-2023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46320</v>
      </c>
      <c r="F389" t="inlineStr">
        <is>
          <t>VÄSTRA GÖTALANDS LÄN</t>
        </is>
      </c>
      <c r="G389" t="inlineStr">
        <is>
          <t>TIDAHOLM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44915</v>
      </c>
      <c r="E390" s="1" t="n">
        <v>46320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415-2021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44257</v>
      </c>
      <c r="E391" s="1" t="n">
        <v>46320</v>
      </c>
      <c r="F391" t="inlineStr">
        <is>
          <t>VÄSTRA GÖTALANDS LÄN</t>
        </is>
      </c>
      <c r="G391" t="inlineStr">
        <is>
          <t>TIDAHOLM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986-2022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46320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98.40000000000001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968-2022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46320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87.3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2715-2025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45930</v>
      </c>
      <c r="E394" s="1" t="n">
        <v>46320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2026-10-25T02:04:57Z</dcterms:created>
  <dcterms:modified xmlns:dcterms="http://purl.org/dc/terms/" xmlns:xsi="http://www.w3.org/2001/XMLSchema-instance" xsi:type="dcterms:W3CDTF">2026-10-25T02:04:57Z</dcterms:modified>
</cp:coreProperties>
</file>