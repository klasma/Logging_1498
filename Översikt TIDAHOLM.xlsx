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46322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46322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46322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46322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46322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46322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46322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46322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46322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46322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46322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46322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46322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46322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3976-2024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46322</v>
      </c>
      <c r="F19" t="inlineStr">
        <is>
          <t>VÄSTRA GÖTALANDS LÄN</t>
        </is>
      </c>
      <c r="G19" t="inlineStr">
        <is>
          <t>TIDAHOLM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Brunlångöra</t>
        </is>
      </c>
      <c r="W19">
        <f>HYPERLINK("https://klasma.github.io/Logging_1498/artfynd/A 3976-2024 artfynd.xlsx", "A 3976-2024")</f>
        <v/>
      </c>
      <c r="X19">
        <f>HYPERLINK("https://klasma.github.io/Logging_1498/kartor/A 3976-2024 karta.png", "A 3976-2024")</f>
        <v/>
      </c>
      <c r="Y19">
        <f>HYPERLINK("https://klasma.github.io/Logging_1498/kartor_geotiff/A 3976-2024 georefererad karta.tif", "A 3976-2024")</f>
        <v/>
      </c>
      <c r="AA19">
        <f>HYPERLINK("https://klasma.github.io/Logging_1498/klagomål/A 3976-2024 FSC-klagomål.docx", "A 3976-2024")</f>
        <v/>
      </c>
      <c r="AB19">
        <f>HYPERLINK("https://klasma.github.io/Logging_1498/klagomålsmail/A 3976-2024 FSC-klagomål mail.docx", "A 3976-2024")</f>
        <v/>
      </c>
      <c r="AC19">
        <f>HYPERLINK("https://klasma.github.io/Logging_1498/tillsyn/A 3976-2024 tillsynsbegäran.docx", "A 3976-2024")</f>
        <v/>
      </c>
      <c r="AD19">
        <f>HYPERLINK("https://klasma.github.io/Logging_1498/tillsynsmail/A 3976-2024 tillsynsbegäran mail.docx", "A 3976-2024")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46322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46322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46322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46322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46322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46322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A 12332-2022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44637</v>
      </c>
      <c r="E26" s="1" t="n">
        <v>46322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Kommuner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Mörk dunört</t>
        </is>
      </c>
      <c r="W26">
        <f>HYPERLINK("https://klasma.github.io/Logging_1498/artfynd/A 12332-2022 artfynd.xlsx", "A 12332-2022")</f>
        <v/>
      </c>
      <c r="X26">
        <f>HYPERLINK("https://klasma.github.io/Logging_1498/kartor/A 12332-2022 karta.png", "A 12332-2022")</f>
        <v/>
      </c>
      <c r="Y26">
        <f>HYPERLINK("https://klasma.github.io/Logging_1498/kartor_geotiff/A 12332-2022 georefererad karta.tif", "A 12332-2022")</f>
        <v/>
      </c>
      <c r="AA26">
        <f>HYPERLINK("https://klasma.github.io/Logging_1498/klagomål/A 12332-2022 FSC-klagomål.docx", "A 12332-2022")</f>
        <v/>
      </c>
      <c r="AB26">
        <f>HYPERLINK("https://klasma.github.io/Logging_1498/klagomålsmail/A 12332-2022 FSC-klagomål mail.docx", "A 12332-2022")</f>
        <v/>
      </c>
      <c r="AC26">
        <f>HYPERLINK("https://klasma.github.io/Logging_1498/tillsyn/A 12332-2022 tillsynsbegäran.docx", "A 12332-2022")</f>
        <v/>
      </c>
      <c r="AD26">
        <f>HYPERLINK("https://klasma.github.io/Logging_1498/tillsynsmail/A 12332-2022 tillsynsbegäran mail.docx", "A 12332-2022")</f>
        <v/>
      </c>
    </row>
    <row r="27" ht="15" customHeight="1">
      <c r="A27" t="inlineStr">
        <is>
          <t>A 44144-2026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46315</v>
      </c>
      <c r="E27" s="1" t="n">
        <v>46322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Allmännings- och besparingsskogar</t>
        </is>
      </c>
      <c r="I27" t="n">
        <v>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Dropptaggsvamp</t>
        </is>
      </c>
      <c r="W27">
        <f>HYPERLINK("https://klasma.github.io/Logging_1498/artfynd/A 44144-2026 artfynd.xlsx", "A 44144-2026")</f>
        <v/>
      </c>
      <c r="X27">
        <f>HYPERLINK("https://klasma.github.io/Logging_1498/kartor/A 44144-2026 karta.png", "A 44144-2026")</f>
        <v/>
      </c>
      <c r="Y27">
        <f>HYPERLINK("https://klasma.github.io/Logging_1498/kartor_geotiff/A 44144-2026 georefererad karta.tif", "A 44144-2026")</f>
        <v/>
      </c>
      <c r="AA27">
        <f>HYPERLINK("https://klasma.github.io/Logging_1498/klagomål/A 44144-2026 FSC-klagomål.docx", "A 44144-2026")</f>
        <v/>
      </c>
      <c r="AB27">
        <f>HYPERLINK("https://klasma.github.io/Logging_1498/klagomålsmail/A 44144-2026 FSC-klagomål mail.docx", "A 44144-2026")</f>
        <v/>
      </c>
      <c r="AC27">
        <f>HYPERLINK("https://klasma.github.io/Logging_1498/tillsyn/A 44144-2026 tillsynsbegäran.docx", "A 44144-2026")</f>
        <v/>
      </c>
      <c r="AD27">
        <f>HYPERLINK("https://klasma.github.io/Logging_1498/tillsynsmail/A 44144-2026 tillsynsbegäran mail.docx", "A 44144-2026")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46322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46322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46322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46322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46322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46322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46322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46322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46322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63383-2021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46322</v>
      </c>
      <c r="F37" t="inlineStr">
        <is>
          <t>VÄSTRA GÖTALANDS LÄN</t>
        </is>
      </c>
      <c r="G37" t="inlineStr">
        <is>
          <t>TIDAHOLM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46322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46322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46322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46322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46322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46322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46322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46322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46322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46322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46322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46322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46322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46322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46322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46322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46322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46322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46322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46322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46322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46322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46322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46322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46322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46322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46322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46322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46322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46322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46322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46322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46322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46322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45707</v>
      </c>
      <c r="E72" s="1" t="n">
        <v>46322</v>
      </c>
      <c r="F72" t="inlineStr">
        <is>
          <t>VÄSTRA GÖTALANDS LÄN</t>
        </is>
      </c>
      <c r="G72" t="inlineStr">
        <is>
          <t>TIDAHOLM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46322</v>
      </c>
      <c r="F73" t="inlineStr">
        <is>
          <t>VÄSTRA GÖTALANDS LÄN</t>
        </is>
      </c>
      <c r="G73" t="inlineStr">
        <is>
          <t>TIDAHOLM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44719</v>
      </c>
      <c r="E74" s="1" t="n">
        <v>46322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52036-2024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46322</v>
      </c>
      <c r="F75" t="inlineStr">
        <is>
          <t>VÄSTRA GÖTALANDS LÄN</t>
        </is>
      </c>
      <c r="G75" t="inlineStr">
        <is>
          <t>TIDAHOLM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46322</v>
      </c>
      <c r="F76" t="inlineStr">
        <is>
          <t>VÄSTRA GÖTALANDS LÄN</t>
        </is>
      </c>
      <c r="G76" t="inlineStr">
        <is>
          <t>TIDAHOLM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46322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46322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45267</v>
      </c>
      <c r="E79" s="1" t="n">
        <v>46322</v>
      </c>
      <c r="F79" t="inlineStr">
        <is>
          <t>VÄSTRA GÖTALANDS LÄN</t>
        </is>
      </c>
      <c r="G79" t="inlineStr">
        <is>
          <t>TIDAHOLM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46322</v>
      </c>
      <c r="F80" t="inlineStr">
        <is>
          <t>VÄSTRA GÖTALANDS LÄN</t>
        </is>
      </c>
      <c r="G80" t="inlineStr">
        <is>
          <t>TIDAHOLM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36194-2024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45534</v>
      </c>
      <c r="E81" s="1" t="n">
        <v>46322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Allmännings- och besparingsskogar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18596-2024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45425</v>
      </c>
      <c r="E82" s="1" t="n">
        <v>46322</v>
      </c>
      <c r="F82" t="inlineStr">
        <is>
          <t>VÄSTRA GÖTALANDS LÄN</t>
        </is>
      </c>
      <c r="G82" t="inlineStr">
        <is>
          <t>TIDAHOLM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46322</v>
      </c>
      <c r="F83" t="inlineStr">
        <is>
          <t>VÄSTRA GÖTALANDS LÄN</t>
        </is>
      </c>
      <c r="G83" t="inlineStr">
        <is>
          <t>TIDAHOLM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46322</v>
      </c>
      <c r="F84" t="inlineStr">
        <is>
          <t>VÄSTRA GÖTALANDS LÄN</t>
        </is>
      </c>
      <c r="G84" t="inlineStr">
        <is>
          <t>TIDAHOLM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74340-2021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46322</v>
      </c>
      <c r="F85" t="inlineStr">
        <is>
          <t>VÄSTRA GÖTALANDS LÄN</t>
        </is>
      </c>
      <c r="G85" t="inlineStr">
        <is>
          <t>TIDAHOLM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46322</v>
      </c>
      <c r="F86" t="inlineStr">
        <is>
          <t>VÄSTRA GÖTALANDS LÄN</t>
        </is>
      </c>
      <c r="G86" t="inlineStr">
        <is>
          <t>TIDAHOLM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45758</v>
      </c>
      <c r="E87" s="1" t="n">
        <v>46322</v>
      </c>
      <c r="F87" t="inlineStr">
        <is>
          <t>VÄSTRA GÖTALANDS LÄN</t>
        </is>
      </c>
      <c r="G87" t="inlineStr">
        <is>
          <t>TIDAHOLM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46322</v>
      </c>
      <c r="F88" t="inlineStr">
        <is>
          <t>VÄSTRA GÖTALANDS LÄN</t>
        </is>
      </c>
      <c r="G88" t="inlineStr">
        <is>
          <t>TIDAHOLM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45181</v>
      </c>
      <c r="E89" s="1" t="n">
        <v>46322</v>
      </c>
      <c r="F89" t="inlineStr">
        <is>
          <t>VÄSTRA GÖTALANDS LÄN</t>
        </is>
      </c>
      <c r="G89" t="inlineStr">
        <is>
          <t>TIDAHOLM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44630</v>
      </c>
      <c r="E90" s="1" t="n">
        <v>46322</v>
      </c>
      <c r="F90" t="inlineStr">
        <is>
          <t>VÄSTRA GÖTALANDS LÄN</t>
        </is>
      </c>
      <c r="G90" t="inlineStr">
        <is>
          <t>TIDAHOLM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46322</v>
      </c>
      <c r="F91" t="inlineStr">
        <is>
          <t>VÄSTRA GÖTALANDS LÄN</t>
        </is>
      </c>
      <c r="G91" t="inlineStr">
        <is>
          <t>TIDAHOLM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46322</v>
      </c>
      <c r="F92" t="inlineStr">
        <is>
          <t>VÄSTRA GÖTALANDS LÄN</t>
        </is>
      </c>
      <c r="G92" t="inlineStr">
        <is>
          <t>TIDAHOLM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46322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46322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45904</v>
      </c>
      <c r="E95" s="1" t="n">
        <v>46322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46322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46322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46322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46322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46322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46322</v>
      </c>
      <c r="F101" t="inlineStr">
        <is>
          <t>VÄSTRA GÖTALANDS LÄN</t>
        </is>
      </c>
      <c r="G101" t="inlineStr">
        <is>
          <t>TIDAHOLM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46322</v>
      </c>
      <c r="F102" t="inlineStr">
        <is>
          <t>VÄSTRA GÖTALANDS LÄN</t>
        </is>
      </c>
      <c r="G102" t="inlineStr">
        <is>
          <t>TIDAHOLM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46322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46322</v>
      </c>
      <c r="F104" t="inlineStr">
        <is>
          <t>VÄSTRA GÖTALANDS LÄN</t>
        </is>
      </c>
      <c r="G104" t="inlineStr">
        <is>
          <t>TIDAHOLM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45643</v>
      </c>
      <c r="E105" s="1" t="n">
        <v>46322</v>
      </c>
      <c r="F105" t="inlineStr">
        <is>
          <t>VÄSTRA GÖTALANDS LÄN</t>
        </is>
      </c>
      <c r="G105" t="inlineStr">
        <is>
          <t>TIDAHOLM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46322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46322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46322</v>
      </c>
      <c r="F108" t="inlineStr">
        <is>
          <t>VÄSTRA GÖTALANDS LÄN</t>
        </is>
      </c>
      <c r="G108" t="inlineStr">
        <is>
          <t>TIDAHOLM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46322</v>
      </c>
      <c r="F109" t="inlineStr">
        <is>
          <t>VÄSTRA GÖTALANDS LÄN</t>
        </is>
      </c>
      <c r="G109" t="inlineStr">
        <is>
          <t>TIDAHOLM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46322</v>
      </c>
      <c r="F110" t="inlineStr">
        <is>
          <t>VÄSTRA GÖTALANDS LÄN</t>
        </is>
      </c>
      <c r="G110" t="inlineStr">
        <is>
          <t>TIDAHOLM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45594</v>
      </c>
      <c r="E111" s="1" t="n">
        <v>46322</v>
      </c>
      <c r="F111" t="inlineStr">
        <is>
          <t>VÄSTRA GÖTALANDS LÄN</t>
        </is>
      </c>
      <c r="G111" t="inlineStr">
        <is>
          <t>TIDAHOLM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46322</v>
      </c>
      <c r="F112" t="inlineStr">
        <is>
          <t>VÄSTRA GÖTALANDS LÄN</t>
        </is>
      </c>
      <c r="G112" t="inlineStr">
        <is>
          <t>TIDAHOLM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46322</v>
      </c>
      <c r="F113" t="inlineStr">
        <is>
          <t>VÄSTRA GÖTALANDS LÄN</t>
        </is>
      </c>
      <c r="G113" t="inlineStr">
        <is>
          <t>TIDAHOLM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46322</v>
      </c>
      <c r="F114" t="inlineStr">
        <is>
          <t>VÄSTRA GÖTALANDS LÄN</t>
        </is>
      </c>
      <c r="G114" t="inlineStr">
        <is>
          <t>TIDAHOLM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46322</v>
      </c>
      <c r="F115" t="inlineStr">
        <is>
          <t>VÄSTRA GÖTALANDS LÄN</t>
        </is>
      </c>
      <c r="G115" t="inlineStr">
        <is>
          <t>TIDAHOLM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45120</v>
      </c>
      <c r="E116" s="1" t="n">
        <v>46322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46322</v>
      </c>
      <c r="F117" t="inlineStr">
        <is>
          <t>VÄSTRA GÖTALANDS LÄN</t>
        </is>
      </c>
      <c r="G117" t="inlineStr">
        <is>
          <t>TIDAHOLM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46322</v>
      </c>
      <c r="F118" t="inlineStr">
        <is>
          <t>VÄSTRA GÖTALANDS LÄN</t>
        </is>
      </c>
      <c r="G118" t="inlineStr">
        <is>
          <t>TIDAHOLM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18247-2023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46322</v>
      </c>
      <c r="F119" t="inlineStr">
        <is>
          <t>VÄSTRA GÖTALANDS LÄN</t>
        </is>
      </c>
      <c r="G119" t="inlineStr">
        <is>
          <t>TIDAHOLM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46322</v>
      </c>
      <c r="F120" t="inlineStr">
        <is>
          <t>VÄSTRA GÖTALANDS LÄN</t>
        </is>
      </c>
      <c r="G120" t="inlineStr">
        <is>
          <t>TIDAHOLM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46322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47370-2025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45930</v>
      </c>
      <c r="E122" s="1" t="n">
        <v>46322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46322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45930</v>
      </c>
      <c r="E124" s="1" t="n">
        <v>46322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46322</v>
      </c>
      <c r="F125" t="inlineStr">
        <is>
          <t>VÄSTRA GÖTALANDS LÄN</t>
        </is>
      </c>
      <c r="G125" t="inlineStr">
        <is>
          <t>TIDAHOLM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45016</v>
      </c>
      <c r="E126" s="1" t="n">
        <v>46322</v>
      </c>
      <c r="F126" t="inlineStr">
        <is>
          <t>VÄSTRA GÖTALANDS LÄN</t>
        </is>
      </c>
      <c r="G126" t="inlineStr">
        <is>
          <t>TIDAHOLM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45495</v>
      </c>
      <c r="E127" s="1" t="n">
        <v>46322</v>
      </c>
      <c r="F127" t="inlineStr">
        <is>
          <t>VÄSTRA GÖTALANDS LÄN</t>
        </is>
      </c>
      <c r="G127" t="inlineStr">
        <is>
          <t>TIDAHOLM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45495</v>
      </c>
      <c r="E128" s="1" t="n">
        <v>46322</v>
      </c>
      <c r="F128" t="inlineStr">
        <is>
          <t>VÄSTRA GÖTALANDS LÄN</t>
        </is>
      </c>
      <c r="G128" t="inlineStr">
        <is>
          <t>TIDAHOLM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46322</v>
      </c>
      <c r="F129" t="inlineStr">
        <is>
          <t>VÄSTRA GÖTALANDS LÄN</t>
        </is>
      </c>
      <c r="G129" t="inlineStr">
        <is>
          <t>TIDAHOLM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46322</v>
      </c>
      <c r="F130" t="inlineStr">
        <is>
          <t>VÄSTRA GÖTALANDS LÄN</t>
        </is>
      </c>
      <c r="G130" t="inlineStr">
        <is>
          <t>TIDAHOLM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46322</v>
      </c>
      <c r="F131" t="inlineStr">
        <is>
          <t>VÄSTRA GÖTALANDS LÄN</t>
        </is>
      </c>
      <c r="G131" t="inlineStr">
        <is>
          <t>TIDAHOLM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45481</v>
      </c>
      <c r="E132" s="1" t="n">
        <v>46322</v>
      </c>
      <c r="F132" t="inlineStr">
        <is>
          <t>VÄSTRA GÖTALANDS LÄN</t>
        </is>
      </c>
      <c r="G132" t="inlineStr">
        <is>
          <t>TIDAHOLM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46322</v>
      </c>
      <c r="F133" t="inlineStr">
        <is>
          <t>VÄSTRA GÖTALANDS LÄN</t>
        </is>
      </c>
      <c r="G133" t="inlineStr">
        <is>
          <t>TIDAHOLM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44860</v>
      </c>
      <c r="E134" s="1" t="n">
        <v>46322</v>
      </c>
      <c r="F134" t="inlineStr">
        <is>
          <t>VÄSTRA GÖTALANDS LÄN</t>
        </is>
      </c>
      <c r="G134" t="inlineStr">
        <is>
          <t>TIDAHOLM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45183</v>
      </c>
      <c r="E135" s="1" t="n">
        <v>46322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Allmännings- och besparingsskogar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45265</v>
      </c>
      <c r="E136" s="1" t="n">
        <v>46322</v>
      </c>
      <c r="F136" t="inlineStr">
        <is>
          <t>VÄSTRA GÖTALANDS LÄN</t>
        </is>
      </c>
      <c r="G136" t="inlineStr">
        <is>
          <t>TIDAHOLM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46322</v>
      </c>
      <c r="F137" t="inlineStr">
        <is>
          <t>VÄSTRA GÖTALANDS LÄN</t>
        </is>
      </c>
      <c r="G137" t="inlineStr">
        <is>
          <t>TIDAHOLM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69446-2021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46322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45752</v>
      </c>
      <c r="E139" s="1" t="n">
        <v>46322</v>
      </c>
      <c r="F139" t="inlineStr">
        <is>
          <t>VÄSTRA GÖTALANDS LÄN</t>
        </is>
      </c>
      <c r="G139" t="inlineStr">
        <is>
          <t>TIDAHOLM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46322</v>
      </c>
      <c r="F140" t="inlineStr">
        <is>
          <t>VÄSTRA GÖTALANDS LÄN</t>
        </is>
      </c>
      <c r="G140" t="inlineStr">
        <is>
          <t>TIDAHOLM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44664</v>
      </c>
      <c r="E141" s="1" t="n">
        <v>46322</v>
      </c>
      <c r="F141" t="inlineStr">
        <is>
          <t>VÄSTRA GÖTALANDS LÄN</t>
        </is>
      </c>
      <c r="G141" t="inlineStr">
        <is>
          <t>TIDAHOLM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46322</v>
      </c>
      <c r="F142" t="inlineStr">
        <is>
          <t>VÄSTRA GÖTALANDS LÄN</t>
        </is>
      </c>
      <c r="G142" t="inlineStr">
        <is>
          <t>TIDAHOLM</t>
        </is>
      </c>
      <c r="I142" t="n">
        <v>7.9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46322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45779</v>
      </c>
      <c r="E144" s="1" t="n">
        <v>46322</v>
      </c>
      <c r="F144" t="inlineStr">
        <is>
          <t>VÄSTRA GÖTALANDS LÄN</t>
        </is>
      </c>
      <c r="G144" t="inlineStr">
        <is>
          <t>TIDAHOLM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46322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Kyrkan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46322</v>
      </c>
      <c r="F146" t="inlineStr">
        <is>
          <t>VÄSTRA GÖTALANDS LÄN</t>
        </is>
      </c>
      <c r="G146" t="inlineStr">
        <is>
          <t>TIDAHOLM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46322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45335</v>
      </c>
      <c r="E148" s="1" t="n">
        <v>46322</v>
      </c>
      <c r="F148" t="inlineStr">
        <is>
          <t>VÄSTRA GÖTALANDS LÄN</t>
        </is>
      </c>
      <c r="G148" t="inlineStr">
        <is>
          <t>TIDAHOLM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46322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Kyrkan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46322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46322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46322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45967</v>
      </c>
      <c r="E153" s="1" t="n">
        <v>46322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46322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54927-2025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45967</v>
      </c>
      <c r="E155" s="1" t="n">
        <v>46322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46322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46322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45473</v>
      </c>
      <c r="E158" s="1" t="n">
        <v>46322</v>
      </c>
      <c r="F158" t="inlineStr">
        <is>
          <t>VÄSTRA GÖTALANDS LÄN</t>
        </is>
      </c>
      <c r="G158" t="inlineStr">
        <is>
          <t>TIDAHOLM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45968</v>
      </c>
      <c r="E159" s="1" t="n">
        <v>46322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46322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Kyrkan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45687</v>
      </c>
      <c r="E161" s="1" t="n">
        <v>46322</v>
      </c>
      <c r="F161" t="inlineStr">
        <is>
          <t>VÄSTRA GÖTALANDS LÄN</t>
        </is>
      </c>
      <c r="G161" t="inlineStr">
        <is>
          <t>TIDAHOLM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46322</v>
      </c>
      <c r="F162" t="inlineStr">
        <is>
          <t>VÄSTRA GÖTALANDS LÄN</t>
        </is>
      </c>
      <c r="G162" t="inlineStr">
        <is>
          <t>TIDAHOLM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46322</v>
      </c>
      <c r="F163" t="inlineStr">
        <is>
          <t>VÄSTRA GÖTALANDS LÄN</t>
        </is>
      </c>
      <c r="G163" t="inlineStr">
        <is>
          <t>TIDAHOLM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46322</v>
      </c>
      <c r="F164" t="inlineStr">
        <is>
          <t>VÄSTRA GÖTALANDS LÄN</t>
        </is>
      </c>
      <c r="G164" t="inlineStr">
        <is>
          <t>TIDAHOLM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46322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Kyrkan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44636</v>
      </c>
      <c r="E166" s="1" t="n">
        <v>46322</v>
      </c>
      <c r="F166" t="inlineStr">
        <is>
          <t>VÄSTRA GÖTALANDS LÄN</t>
        </is>
      </c>
      <c r="G166" t="inlineStr">
        <is>
          <t>TIDAHOLM</t>
        </is>
      </c>
      <c r="I166" t="n">
        <v>18.8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46322</v>
      </c>
      <c r="F167" t="inlineStr">
        <is>
          <t>VÄSTRA GÖTALANDS LÄN</t>
        </is>
      </c>
      <c r="G167" t="inlineStr">
        <is>
          <t>TIDAHOLM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45711</v>
      </c>
      <c r="E168" s="1" t="n">
        <v>46322</v>
      </c>
      <c r="F168" t="inlineStr">
        <is>
          <t>VÄSTRA GÖTALANDS LÄN</t>
        </is>
      </c>
      <c r="G168" t="inlineStr">
        <is>
          <t>TIDAHOLM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33568-2024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45519</v>
      </c>
      <c r="E169" s="1" t="n">
        <v>46322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45790</v>
      </c>
      <c r="E170" s="1" t="n">
        <v>46322</v>
      </c>
      <c r="F170" t="inlineStr">
        <is>
          <t>VÄSTRA GÖTALANDS LÄN</t>
        </is>
      </c>
      <c r="G170" t="inlineStr">
        <is>
          <t>TIDAHOLM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46322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45680</v>
      </c>
      <c r="E172" s="1" t="n">
        <v>46322</v>
      </c>
      <c r="F172" t="inlineStr">
        <is>
          <t>VÄSTRA GÖTALANDS LÄN</t>
        </is>
      </c>
      <c r="G172" t="inlineStr">
        <is>
          <t>TIDAHOLM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46322</v>
      </c>
      <c r="F173" t="inlineStr">
        <is>
          <t>VÄSTRA GÖTALANDS LÄN</t>
        </is>
      </c>
      <c r="G173" t="inlineStr">
        <is>
          <t>TIDAHOLM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46322</v>
      </c>
      <c r="F174" t="inlineStr">
        <is>
          <t>VÄSTRA GÖTALANDS LÄN</t>
        </is>
      </c>
      <c r="G174" t="inlineStr">
        <is>
          <t>TIDAHOLM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35479-2023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45146</v>
      </c>
      <c r="E175" s="1" t="n">
        <v>46322</v>
      </c>
      <c r="F175" t="inlineStr">
        <is>
          <t>VÄSTRA GÖTALANDS LÄN</t>
        </is>
      </c>
      <c r="G175" t="inlineStr">
        <is>
          <t>TIDAHOLM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46322</v>
      </c>
      <c r="F176" t="inlineStr">
        <is>
          <t>VÄSTRA GÖTALANDS LÄN</t>
        </is>
      </c>
      <c r="G176" t="inlineStr">
        <is>
          <t>TIDAHOLM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46322</v>
      </c>
      <c r="F177" t="inlineStr">
        <is>
          <t>VÄSTRA GÖTALANDS LÄN</t>
        </is>
      </c>
      <c r="G177" t="inlineStr">
        <is>
          <t>TIDAHOLM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46322</v>
      </c>
      <c r="F178" t="inlineStr">
        <is>
          <t>VÄSTRA GÖTALANDS LÄN</t>
        </is>
      </c>
      <c r="G178" t="inlineStr">
        <is>
          <t>TIDAHOLM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46322</v>
      </c>
      <c r="F179" t="inlineStr">
        <is>
          <t>VÄSTRA GÖTALANDS LÄN</t>
        </is>
      </c>
      <c r="G179" t="inlineStr">
        <is>
          <t>TIDAHOLM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46322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45350</v>
      </c>
      <c r="E181" s="1" t="n">
        <v>46322</v>
      </c>
      <c r="F181" t="inlineStr">
        <is>
          <t>VÄSTRA GÖTALANDS LÄN</t>
        </is>
      </c>
      <c r="G181" t="inlineStr">
        <is>
          <t>TIDAHOLM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44997</v>
      </c>
      <c r="E182" s="1" t="n">
        <v>46322</v>
      </c>
      <c r="F182" t="inlineStr">
        <is>
          <t>VÄSTRA GÖTALANDS LÄN</t>
        </is>
      </c>
      <c r="G182" t="inlineStr">
        <is>
          <t>TIDAHOLM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46322</v>
      </c>
      <c r="F183" t="inlineStr">
        <is>
          <t>VÄSTRA GÖTALANDS LÄN</t>
        </is>
      </c>
      <c r="G183" t="inlineStr">
        <is>
          <t>TIDAHOLM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62329-2025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46006</v>
      </c>
      <c r="E184" s="1" t="n">
        <v>46322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Kyrkan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46322</v>
      </c>
      <c r="F185" t="inlineStr">
        <is>
          <t>VÄSTRA GÖTALANDS LÄN</t>
        </is>
      </c>
      <c r="G185" t="inlineStr">
        <is>
          <t>TIDAHOLM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45786</v>
      </c>
      <c r="E186" s="1" t="n">
        <v>46322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45637</v>
      </c>
      <c r="E187" s="1" t="n">
        <v>46322</v>
      </c>
      <c r="F187" t="inlineStr">
        <is>
          <t>VÄSTRA GÖTALANDS LÄN</t>
        </is>
      </c>
      <c r="G187" t="inlineStr">
        <is>
          <t>TIDAHOLM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46322</v>
      </c>
      <c r="F188" t="inlineStr">
        <is>
          <t>VÄSTRA GÖTALANDS LÄN</t>
        </is>
      </c>
      <c r="G188" t="inlineStr">
        <is>
          <t>TIDAHOLM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46322</v>
      </c>
      <c r="F189" t="inlineStr">
        <is>
          <t>VÄSTRA GÖTALANDS LÄN</t>
        </is>
      </c>
      <c r="G189" t="inlineStr">
        <is>
          <t>TIDAHOLM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46322</v>
      </c>
      <c r="F190" t="inlineStr">
        <is>
          <t>VÄSTRA GÖTALANDS LÄN</t>
        </is>
      </c>
      <c r="G190" t="inlineStr">
        <is>
          <t>TIDAHOLM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46322</v>
      </c>
      <c r="F191" t="inlineStr">
        <is>
          <t>VÄSTRA GÖTALANDS LÄN</t>
        </is>
      </c>
      <c r="G191" t="inlineStr">
        <is>
          <t>TIDAHOLM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45623</v>
      </c>
      <c r="E192" s="1" t="n">
        <v>46322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44720</v>
      </c>
      <c r="E193" s="1" t="n">
        <v>46322</v>
      </c>
      <c r="F193" t="inlineStr">
        <is>
          <t>VÄSTRA GÖTALANDS LÄN</t>
        </is>
      </c>
      <c r="G193" t="inlineStr">
        <is>
          <t>TIDAHOLM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45784</v>
      </c>
      <c r="E194" s="1" t="n">
        <v>46322</v>
      </c>
      <c r="F194" t="inlineStr">
        <is>
          <t>VÄSTRA GÖTALANDS LÄN</t>
        </is>
      </c>
      <c r="G194" t="inlineStr">
        <is>
          <t>TIDAHOLM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46021</v>
      </c>
      <c r="E195" s="1" t="n">
        <v>46322</v>
      </c>
      <c r="F195" t="inlineStr">
        <is>
          <t>VÄSTRA GÖTALANDS LÄN</t>
        </is>
      </c>
      <c r="G195" t="inlineStr">
        <is>
          <t>TIDAHOLM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46322</v>
      </c>
      <c r="F196" t="inlineStr">
        <is>
          <t>VÄSTRA GÖTALANDS LÄN</t>
        </is>
      </c>
      <c r="G196" t="inlineStr">
        <is>
          <t>TIDAHOLM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46322</v>
      </c>
      <c r="F197" t="inlineStr">
        <is>
          <t>VÄSTRA GÖTALANDS LÄN</t>
        </is>
      </c>
      <c r="G197" t="inlineStr">
        <is>
          <t>TIDAHOLM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46322</v>
      </c>
      <c r="F198" t="inlineStr">
        <is>
          <t>VÄSTRA GÖTALANDS LÄN</t>
        </is>
      </c>
      <c r="G198" t="inlineStr">
        <is>
          <t>TIDAHOLM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46322</v>
      </c>
      <c r="F199" t="inlineStr">
        <is>
          <t>VÄSTRA GÖTALANDS LÄN</t>
        </is>
      </c>
      <c r="G199" t="inlineStr">
        <is>
          <t>TIDAHOLM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46322</v>
      </c>
      <c r="F200" t="inlineStr">
        <is>
          <t>VÄSTRA GÖTALANDS LÄN</t>
        </is>
      </c>
      <c r="G200" t="inlineStr">
        <is>
          <t>TIDAHOLM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46322</v>
      </c>
      <c r="F201" t="inlineStr">
        <is>
          <t>VÄSTRA GÖTALANDS LÄN</t>
        </is>
      </c>
      <c r="G201" t="inlineStr">
        <is>
          <t>TIDAHOLM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46322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Allmännings- och besparingsskogar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46322</v>
      </c>
      <c r="F203" t="inlineStr">
        <is>
          <t>VÄSTRA GÖTALANDS LÄN</t>
        </is>
      </c>
      <c r="G203" t="inlineStr">
        <is>
          <t>TIDAHOLM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45779</v>
      </c>
      <c r="E204" s="1" t="n">
        <v>46322</v>
      </c>
      <c r="F204" t="inlineStr">
        <is>
          <t>VÄSTRA GÖTALANDS LÄN</t>
        </is>
      </c>
      <c r="G204" t="inlineStr">
        <is>
          <t>TIDAHOLM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45105</v>
      </c>
      <c r="E205" s="1" t="n">
        <v>46322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45669</v>
      </c>
      <c r="E206" s="1" t="n">
        <v>46322</v>
      </c>
      <c r="F206" t="inlineStr">
        <is>
          <t>VÄSTRA GÖTALANDS LÄN</t>
        </is>
      </c>
      <c r="G206" t="inlineStr">
        <is>
          <t>TIDAHOLM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46322</v>
      </c>
      <c r="F207" t="inlineStr">
        <is>
          <t>VÄSTRA GÖTALANDS LÄN</t>
        </is>
      </c>
      <c r="G207" t="inlineStr">
        <is>
          <t>TIDAHOLM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45846</v>
      </c>
      <c r="E208" s="1" t="n">
        <v>46322</v>
      </c>
      <c r="F208" t="inlineStr">
        <is>
          <t>VÄSTRA GÖTALANDS LÄN</t>
        </is>
      </c>
      <c r="G208" t="inlineStr">
        <is>
          <t>TIDAHOLM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14334-2025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45740</v>
      </c>
      <c r="E209" s="1" t="n">
        <v>46322</v>
      </c>
      <c r="F209" t="inlineStr">
        <is>
          <t>VÄSTRA GÖTALANDS LÄN</t>
        </is>
      </c>
      <c r="G209" t="inlineStr">
        <is>
          <t>TIDAHOLM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46322</v>
      </c>
      <c r="F210" t="inlineStr">
        <is>
          <t>VÄSTRA GÖTALANDS LÄN</t>
        </is>
      </c>
      <c r="G210" t="inlineStr">
        <is>
          <t>TIDAHOLM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46322</v>
      </c>
      <c r="F211" t="inlineStr">
        <is>
          <t>VÄSTRA GÖTALANDS LÄN</t>
        </is>
      </c>
      <c r="G211" t="inlineStr">
        <is>
          <t>TIDAHOLM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46322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46322</v>
      </c>
      <c r="F213" t="inlineStr">
        <is>
          <t>VÄSTRA GÖTALANDS LÄN</t>
        </is>
      </c>
      <c r="G213" t="inlineStr">
        <is>
          <t>TIDAHOLM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45460</v>
      </c>
      <c r="E214" s="1" t="n">
        <v>46322</v>
      </c>
      <c r="F214" t="inlineStr">
        <is>
          <t>VÄSTRA GÖTALANDS LÄN</t>
        </is>
      </c>
      <c r="G214" t="inlineStr">
        <is>
          <t>TIDAHOLM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46322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Kommuner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35388-2025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45855</v>
      </c>
      <c r="E216" s="1" t="n">
        <v>46322</v>
      </c>
      <c r="F216" t="inlineStr">
        <is>
          <t>VÄSTRA GÖTALANDS LÄN</t>
        </is>
      </c>
      <c r="G216" t="inlineStr">
        <is>
          <t>TIDAHOLM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46322</v>
      </c>
      <c r="F217" t="inlineStr">
        <is>
          <t>VÄSTRA GÖTALANDS LÄN</t>
        </is>
      </c>
      <c r="G217" t="inlineStr">
        <is>
          <t>TIDAHOLM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27354-2024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45473</v>
      </c>
      <c r="E218" s="1" t="n">
        <v>46322</v>
      </c>
      <c r="F218" t="inlineStr">
        <is>
          <t>VÄSTRA GÖTALANDS LÄN</t>
        </is>
      </c>
      <c r="G218" t="inlineStr">
        <is>
          <t>TIDAHOLM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45861</v>
      </c>
      <c r="E219" s="1" t="n">
        <v>46322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45240</v>
      </c>
      <c r="E220" s="1" t="n">
        <v>46322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46322</v>
      </c>
      <c r="F221" t="inlineStr">
        <is>
          <t>VÄSTRA GÖTALANDS LÄN</t>
        </is>
      </c>
      <c r="G221" t="inlineStr">
        <is>
          <t>TIDAHOLM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46322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Kyrkan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46322</v>
      </c>
      <c r="F223" t="inlineStr">
        <is>
          <t>VÄSTRA GÖTALANDS LÄN</t>
        </is>
      </c>
      <c r="G223" t="inlineStr">
        <is>
          <t>TIDAHOLM</t>
        </is>
      </c>
      <c r="I223" t="n">
        <v>23.4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46322</v>
      </c>
      <c r="F224" t="inlineStr">
        <is>
          <t>VÄSTRA GÖTALANDS LÄN</t>
        </is>
      </c>
      <c r="G224" t="inlineStr">
        <is>
          <t>TIDAHOLM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46322</v>
      </c>
      <c r="F225" t="inlineStr">
        <is>
          <t>VÄSTRA GÖTALANDS LÄN</t>
        </is>
      </c>
      <c r="G225" t="inlineStr">
        <is>
          <t>TIDAHOLM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45556</v>
      </c>
      <c r="E226" s="1" t="n">
        <v>46322</v>
      </c>
      <c r="F226" t="inlineStr">
        <is>
          <t>VÄSTRA GÖTALANDS LÄN</t>
        </is>
      </c>
      <c r="G226" t="inlineStr">
        <is>
          <t>TIDAHOLM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44817</v>
      </c>
      <c r="E227" s="1" t="n">
        <v>46322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45669</v>
      </c>
      <c r="E228" s="1" t="n">
        <v>46322</v>
      </c>
      <c r="F228" t="inlineStr">
        <is>
          <t>VÄSTRA GÖTALANDS LÄN</t>
        </is>
      </c>
      <c r="G228" t="inlineStr">
        <is>
          <t>TIDAHOLM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32591-2022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46322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46322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Allmännings- och besparingsskogar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46322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Kommuner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46322</v>
      </c>
      <c r="F232" t="inlineStr">
        <is>
          <t>VÄSTRA GÖTALANDS LÄN</t>
        </is>
      </c>
      <c r="G232" t="inlineStr">
        <is>
          <t>TIDAHOLM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45672</v>
      </c>
      <c r="E233" s="1" t="n">
        <v>46322</v>
      </c>
      <c r="F233" t="inlineStr">
        <is>
          <t>VÄSTRA GÖTALANDS LÄN</t>
        </is>
      </c>
      <c r="G233" t="inlineStr">
        <is>
          <t>TIDAHOLM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45232</v>
      </c>
      <c r="E234" s="1" t="n">
        <v>46322</v>
      </c>
      <c r="F234" t="inlineStr">
        <is>
          <t>VÄSTRA GÖTALANDS LÄN</t>
        </is>
      </c>
      <c r="G234" t="inlineStr">
        <is>
          <t>TIDAHOLM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46322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45462</v>
      </c>
      <c r="E236" s="1" t="n">
        <v>46322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45006</v>
      </c>
      <c r="E237" s="1" t="n">
        <v>46322</v>
      </c>
      <c r="F237" t="inlineStr">
        <is>
          <t>VÄSTRA GÖTALANDS LÄN</t>
        </is>
      </c>
      <c r="G237" t="inlineStr">
        <is>
          <t>TIDAHOLM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46322</v>
      </c>
      <c r="F238" t="inlineStr">
        <is>
          <t>VÄSTRA GÖTALANDS LÄN</t>
        </is>
      </c>
      <c r="G238" t="inlineStr">
        <is>
          <t>TIDAHOLM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46322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46322</v>
      </c>
      <c r="F240" t="inlineStr">
        <is>
          <t>VÄSTRA GÖTALANDS LÄN</t>
        </is>
      </c>
      <c r="G240" t="inlineStr">
        <is>
          <t>TIDAHOLM</t>
        </is>
      </c>
      <c r="I240" t="n">
        <v>16.2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46322</v>
      </c>
      <c r="F241" t="inlineStr">
        <is>
          <t>VÄSTRA GÖTALANDS LÄN</t>
        </is>
      </c>
      <c r="G241" t="inlineStr">
        <is>
          <t>TIDAHOLM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11296-2026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46080</v>
      </c>
      <c r="E242" s="1" t="n">
        <v>46322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10909-2026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46322</v>
      </c>
      <c r="F243" t="inlineStr">
        <is>
          <t>VÄSTRA GÖTALANDS LÄN</t>
        </is>
      </c>
      <c r="G243" t="inlineStr">
        <is>
          <t>TIDAHOLM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44881</v>
      </c>
      <c r="E244" s="1" t="n">
        <v>46322</v>
      </c>
      <c r="F244" t="inlineStr">
        <is>
          <t>VÄSTRA GÖTALANDS LÄN</t>
        </is>
      </c>
      <c r="G244" t="inlineStr">
        <is>
          <t>TIDAHOLM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11291-2026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46080</v>
      </c>
      <c r="E245" s="1" t="n">
        <v>46322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46322</v>
      </c>
      <c r="F246" t="inlineStr">
        <is>
          <t>VÄSTRA GÖTALANDS LÄN</t>
        </is>
      </c>
      <c r="G246" t="inlineStr">
        <is>
          <t>TIDAHOLM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46322</v>
      </c>
      <c r="F247" t="inlineStr">
        <is>
          <t>VÄSTRA GÖTALANDS LÄN</t>
        </is>
      </c>
      <c r="G247" t="inlineStr">
        <is>
          <t>TIDAHOLM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46322</v>
      </c>
      <c r="F248" t="inlineStr">
        <is>
          <t>VÄSTRA GÖTALANDS LÄN</t>
        </is>
      </c>
      <c r="G248" t="inlineStr">
        <is>
          <t>TIDAHOLM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46322</v>
      </c>
      <c r="F249" t="inlineStr">
        <is>
          <t>VÄSTRA GÖTALANDS LÄN</t>
        </is>
      </c>
      <c r="G249" t="inlineStr">
        <is>
          <t>TIDAHOLM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45477</v>
      </c>
      <c r="E250" s="1" t="n">
        <v>46322</v>
      </c>
      <c r="F250" t="inlineStr">
        <is>
          <t>VÄSTRA GÖTALANDS LÄN</t>
        </is>
      </c>
      <c r="G250" t="inlineStr">
        <is>
          <t>TIDAHOLM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46322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46322</v>
      </c>
      <c r="F252" t="inlineStr">
        <is>
          <t>VÄSTRA GÖTALANDS LÄN</t>
        </is>
      </c>
      <c r="G252" t="inlineStr">
        <is>
          <t>TIDAHOLM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46322</v>
      </c>
      <c r="F253" t="inlineStr">
        <is>
          <t>VÄSTRA GÖTALANDS LÄN</t>
        </is>
      </c>
      <c r="G253" t="inlineStr">
        <is>
          <t>TIDAHOLM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46322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44911</v>
      </c>
      <c r="E255" s="1" t="n">
        <v>46322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32670-2023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45121</v>
      </c>
      <c r="E256" s="1" t="n">
        <v>46322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46322</v>
      </c>
      <c r="F257" t="inlineStr">
        <is>
          <t>VÄSTRA GÖTALANDS LÄN</t>
        </is>
      </c>
      <c r="G257" t="inlineStr">
        <is>
          <t>TIDAHOLM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45580</v>
      </c>
      <c r="E258" s="1" t="n">
        <v>46322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46322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46322</v>
      </c>
      <c r="F260" t="inlineStr">
        <is>
          <t>VÄSTRA GÖTALANDS LÄN</t>
        </is>
      </c>
      <c r="G260" t="inlineStr">
        <is>
          <t>TIDAHOLM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45358</v>
      </c>
      <c r="E261" s="1" t="n">
        <v>46322</v>
      </c>
      <c r="F261" t="inlineStr">
        <is>
          <t>VÄSTRA GÖTALANDS LÄN</t>
        </is>
      </c>
      <c r="G261" t="inlineStr">
        <is>
          <t>TIDAHOLM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45358</v>
      </c>
      <c r="E262" s="1" t="n">
        <v>46322</v>
      </c>
      <c r="F262" t="inlineStr">
        <is>
          <t>VÄSTRA GÖTALANDS LÄN</t>
        </is>
      </c>
      <c r="G262" t="inlineStr">
        <is>
          <t>TIDAHOLM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46322</v>
      </c>
      <c r="F263" t="inlineStr">
        <is>
          <t>VÄSTRA GÖTALANDS LÄN</t>
        </is>
      </c>
      <c r="G263" t="inlineStr">
        <is>
          <t>TIDAHOLM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46322</v>
      </c>
      <c r="F264" t="inlineStr">
        <is>
          <t>VÄSTRA GÖTALANDS LÄN</t>
        </is>
      </c>
      <c r="G264" t="inlineStr">
        <is>
          <t>TIDAHOLM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46322</v>
      </c>
      <c r="F265" t="inlineStr">
        <is>
          <t>VÄSTRA GÖTALANDS LÄN</t>
        </is>
      </c>
      <c r="G265" t="inlineStr">
        <is>
          <t>TIDAHOLM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46322</v>
      </c>
      <c r="F266" t="inlineStr">
        <is>
          <t>VÄSTRA GÖTALANDS LÄN</t>
        </is>
      </c>
      <c r="G266" t="inlineStr">
        <is>
          <t>TIDAHOLM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46322</v>
      </c>
      <c r="F267" t="inlineStr">
        <is>
          <t>VÄSTRA GÖTALANDS LÄN</t>
        </is>
      </c>
      <c r="G267" t="inlineStr">
        <is>
          <t>TIDAHOLM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46322</v>
      </c>
      <c r="F268" t="inlineStr">
        <is>
          <t>VÄSTRA GÖTALANDS LÄN</t>
        </is>
      </c>
      <c r="G268" t="inlineStr">
        <is>
          <t>TIDAHOLM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44580</v>
      </c>
      <c r="E269" s="1" t="n">
        <v>46322</v>
      </c>
      <c r="F269" t="inlineStr">
        <is>
          <t>VÄSTRA GÖTALANDS LÄN</t>
        </is>
      </c>
      <c r="G269" t="inlineStr">
        <is>
          <t>TIDAHOLM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46123</v>
      </c>
      <c r="E270" s="1" t="n">
        <v>46322</v>
      </c>
      <c r="F270" t="inlineStr">
        <is>
          <t>VÄSTRA GÖTALANDS LÄN</t>
        </is>
      </c>
      <c r="G270" t="inlineStr">
        <is>
          <t>TIDAHOLM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45232</v>
      </c>
      <c r="E271" s="1" t="n">
        <v>46322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Kyrkan</t>
        </is>
      </c>
      <c r="I271" t="n">
        <v>22.5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46322</v>
      </c>
      <c r="F272" t="inlineStr">
        <is>
          <t>VÄSTRA GÖTALANDS LÄN</t>
        </is>
      </c>
      <c r="G272" t="inlineStr">
        <is>
          <t>TIDAHOLM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46131</v>
      </c>
      <c r="E273" s="1" t="n">
        <v>46322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45030</v>
      </c>
      <c r="E274" s="1" t="n">
        <v>46322</v>
      </c>
      <c r="F274" t="inlineStr">
        <is>
          <t>VÄSTRA GÖTALANDS LÄN</t>
        </is>
      </c>
      <c r="G274" t="inlineStr">
        <is>
          <t>TIDAHOLM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45469</v>
      </c>
      <c r="E275" s="1" t="n">
        <v>46322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46322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46322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45526</v>
      </c>
      <c r="E278" s="1" t="n">
        <v>46322</v>
      </c>
      <c r="F278" t="inlineStr">
        <is>
          <t>VÄSTRA GÖTALANDS LÄN</t>
        </is>
      </c>
      <c r="G278" t="inlineStr">
        <is>
          <t>TIDAHOLM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68631-2021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44529</v>
      </c>
      <c r="E279" s="1" t="n">
        <v>46322</v>
      </c>
      <c r="F279" t="inlineStr">
        <is>
          <t>VÄSTRA GÖTALANDS LÄN</t>
        </is>
      </c>
      <c r="G279" t="inlineStr">
        <is>
          <t>TIDAHOLM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45362</v>
      </c>
      <c r="E280" s="1" t="n">
        <v>46322</v>
      </c>
      <c r="F280" t="inlineStr">
        <is>
          <t>VÄSTRA GÖTALANDS LÄN</t>
        </is>
      </c>
      <c r="G280" t="inlineStr">
        <is>
          <t>TIDAHOLM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46129</v>
      </c>
      <c r="E281" s="1" t="n">
        <v>46322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46322</v>
      </c>
      <c r="F282" t="inlineStr">
        <is>
          <t>VÄSTRA GÖTALANDS LÄN</t>
        </is>
      </c>
      <c r="G282" t="inlineStr">
        <is>
          <t>TIDAHOLM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37070-2022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46322</v>
      </c>
      <c r="F283" t="inlineStr">
        <is>
          <t>VÄSTRA GÖTALANDS LÄN</t>
        </is>
      </c>
      <c r="G283" t="inlineStr">
        <is>
          <t>TIDAHOLM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49865-2024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45596</v>
      </c>
      <c r="E284" s="1" t="n">
        <v>46322</v>
      </c>
      <c r="F284" t="inlineStr">
        <is>
          <t>VÄSTRA GÖTALANDS LÄN</t>
        </is>
      </c>
      <c r="G284" t="inlineStr">
        <is>
          <t>TIDAHOLM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45352</v>
      </c>
      <c r="E285" s="1" t="n">
        <v>46322</v>
      </c>
      <c r="F285" t="inlineStr">
        <is>
          <t>VÄSTRA GÖTALANDS LÄN</t>
        </is>
      </c>
      <c r="G285" t="inlineStr">
        <is>
          <t>TIDAHOLM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51287-2024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46322</v>
      </c>
      <c r="F286" t="inlineStr">
        <is>
          <t>VÄSTRA GÖTALANDS LÄN</t>
        </is>
      </c>
      <c r="G286" t="inlineStr">
        <is>
          <t>TIDAHOLM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46322</v>
      </c>
      <c r="F287" t="inlineStr">
        <is>
          <t>VÄSTRA GÖTALANDS LÄN</t>
        </is>
      </c>
      <c r="G287" t="inlineStr">
        <is>
          <t>TIDAHOLM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46322</v>
      </c>
      <c r="F288" t="inlineStr">
        <is>
          <t>VÄSTRA GÖTALANDS LÄN</t>
        </is>
      </c>
      <c r="G288" t="inlineStr">
        <is>
          <t>TIDAHOLM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45530</v>
      </c>
      <c r="E289" s="1" t="n">
        <v>46322</v>
      </c>
      <c r="F289" t="inlineStr">
        <is>
          <t>VÄSTRA GÖTALANDS LÄN</t>
        </is>
      </c>
      <c r="G289" t="inlineStr">
        <is>
          <t>TIDAHOLM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45443</v>
      </c>
      <c r="E290" s="1" t="n">
        <v>46322</v>
      </c>
      <c r="F290" t="inlineStr">
        <is>
          <t>VÄSTRA GÖTALANDS LÄN</t>
        </is>
      </c>
      <c r="G290" t="inlineStr">
        <is>
          <t>TIDAHOLM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37077-2025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46322</v>
      </c>
      <c r="F291" t="inlineStr">
        <is>
          <t>VÄSTRA GÖTALANDS LÄN</t>
        </is>
      </c>
      <c r="G291" t="inlineStr">
        <is>
          <t>TIDAHOLM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11444-2022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44630</v>
      </c>
      <c r="E292" s="1" t="n">
        <v>46322</v>
      </c>
      <c r="F292" t="inlineStr">
        <is>
          <t>VÄSTRA GÖTALANDS LÄN</t>
        </is>
      </c>
      <c r="G292" t="inlineStr">
        <is>
          <t>TIDAHOLM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45165-2025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45919</v>
      </c>
      <c r="E293" s="1" t="n">
        <v>46322</v>
      </c>
      <c r="F293" t="inlineStr">
        <is>
          <t>VÄSTRA GÖTALANDS LÄN</t>
        </is>
      </c>
      <c r="G293" t="inlineStr">
        <is>
          <t>TIDAHOLM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46289</v>
      </c>
      <c r="E294" s="1" t="n">
        <v>46322</v>
      </c>
      <c r="F294" t="inlineStr">
        <is>
          <t>VÄSTRA GÖTALANDS LÄN</t>
        </is>
      </c>
      <c r="G294" t="inlineStr">
        <is>
          <t>TIDAHOLM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45530</v>
      </c>
      <c r="E295" s="1" t="n">
        <v>46322</v>
      </c>
      <c r="F295" t="inlineStr">
        <is>
          <t>VÄSTRA GÖTALANDS LÄN</t>
        </is>
      </c>
      <c r="G295" t="inlineStr">
        <is>
          <t>TIDAHOLM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39576-2026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46289</v>
      </c>
      <c r="E296" s="1" t="n">
        <v>46322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46322</v>
      </c>
      <c r="F297" t="inlineStr">
        <is>
          <t>VÄSTRA GÖTALANDS LÄN</t>
        </is>
      </c>
      <c r="G297" t="inlineStr">
        <is>
          <t>TIDAHOLM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60207-2022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44910</v>
      </c>
      <c r="E298" s="1" t="n">
        <v>46322</v>
      </c>
      <c r="F298" t="inlineStr">
        <is>
          <t>VÄSTRA GÖTALANDS LÄN</t>
        </is>
      </c>
      <c r="G298" t="inlineStr">
        <is>
          <t>TIDAHOLM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46322</v>
      </c>
      <c r="F299" t="inlineStr">
        <is>
          <t>VÄSTRA GÖTALANDS LÄN</t>
        </is>
      </c>
      <c r="G299" t="inlineStr">
        <is>
          <t>TIDAHOLM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46322</v>
      </c>
      <c r="F300" t="inlineStr">
        <is>
          <t>VÄSTRA GÖTALANDS LÄN</t>
        </is>
      </c>
      <c r="G300" t="inlineStr">
        <is>
          <t>TIDAHOLM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45779</v>
      </c>
      <c r="E301" s="1" t="n">
        <v>46322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22963-2025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45790</v>
      </c>
      <c r="E302" s="1" t="n">
        <v>46322</v>
      </c>
      <c r="F302" t="inlineStr">
        <is>
          <t>VÄSTRA GÖTALANDS LÄN</t>
        </is>
      </c>
      <c r="G302" t="inlineStr">
        <is>
          <t>TIDAHOLM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10273-2022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44622</v>
      </c>
      <c r="E303" s="1" t="n">
        <v>46322</v>
      </c>
      <c r="F303" t="inlineStr">
        <is>
          <t>VÄSTRA GÖTALANDS LÄN</t>
        </is>
      </c>
      <c r="G303" t="inlineStr">
        <is>
          <t>TIDAHOLM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46322</v>
      </c>
      <c r="F304" t="inlineStr">
        <is>
          <t>VÄSTRA GÖTALANDS LÄN</t>
        </is>
      </c>
      <c r="G304" t="inlineStr">
        <is>
          <t>TIDAHOLM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46322</v>
      </c>
      <c r="F305" t="inlineStr">
        <is>
          <t>VÄSTRA GÖTALANDS LÄN</t>
        </is>
      </c>
      <c r="G305" t="inlineStr">
        <is>
          <t>TIDAHOLM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45414</v>
      </c>
      <c r="E306" s="1" t="n">
        <v>46322</v>
      </c>
      <c r="F306" t="inlineStr">
        <is>
          <t>VÄSTRA GÖTALANDS LÄN</t>
        </is>
      </c>
      <c r="G306" t="inlineStr">
        <is>
          <t>TIDAHOLM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46322</v>
      </c>
      <c r="F307" t="inlineStr">
        <is>
          <t>VÄSTRA GÖTALANDS LÄN</t>
        </is>
      </c>
      <c r="G307" t="inlineStr">
        <is>
          <t>TIDAHOLM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46322</v>
      </c>
      <c r="F308" t="inlineStr">
        <is>
          <t>VÄSTRA GÖTALANDS LÄN</t>
        </is>
      </c>
      <c r="G308" t="inlineStr">
        <is>
          <t>TIDAHOLM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73728-2021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44552</v>
      </c>
      <c r="E309" s="1" t="n">
        <v>46322</v>
      </c>
      <c r="F309" t="inlineStr">
        <is>
          <t>VÄSTRA GÖTALANDS LÄN</t>
        </is>
      </c>
      <c r="G309" t="inlineStr">
        <is>
          <t>TIDAHOLM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26550-2024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46322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46322</v>
      </c>
      <c r="F311" t="inlineStr">
        <is>
          <t>VÄSTRA GÖTALANDS LÄN</t>
        </is>
      </c>
      <c r="G311" t="inlineStr">
        <is>
          <t>TIDAHOLM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72683-2021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44546</v>
      </c>
      <c r="E312" s="1" t="n">
        <v>46322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46322</v>
      </c>
      <c r="F313" t="inlineStr">
        <is>
          <t>VÄSTRA GÖTALANDS LÄN</t>
        </is>
      </c>
      <c r="G313" t="inlineStr">
        <is>
          <t>TIDAHOLM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46322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Kommuner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46322</v>
      </c>
      <c r="F315" t="inlineStr">
        <is>
          <t>VÄSTRA GÖTALANDS LÄN</t>
        </is>
      </c>
      <c r="G315" t="inlineStr">
        <is>
          <t>TIDAHOLM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46322</v>
      </c>
      <c r="F316" t="inlineStr">
        <is>
          <t>VÄSTRA GÖTALANDS LÄN</t>
        </is>
      </c>
      <c r="G316" t="inlineStr">
        <is>
          <t>TIDAHOLM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46322</v>
      </c>
      <c r="F317" t="inlineStr">
        <is>
          <t>VÄSTRA GÖTALANDS LÄN</t>
        </is>
      </c>
      <c r="G317" t="inlineStr">
        <is>
          <t>TIDAHOLM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46322</v>
      </c>
      <c r="F318" t="inlineStr">
        <is>
          <t>VÄSTRA GÖTALANDS LÄN</t>
        </is>
      </c>
      <c r="G318" t="inlineStr">
        <is>
          <t>TIDAHOLM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45048</v>
      </c>
      <c r="E319" s="1" t="n">
        <v>46322</v>
      </c>
      <c r="F319" t="inlineStr">
        <is>
          <t>VÄSTRA GÖTALANDS LÄN</t>
        </is>
      </c>
      <c r="G319" t="inlineStr">
        <is>
          <t>TIDAHOLM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45000</v>
      </c>
      <c r="E320" s="1" t="n">
        <v>46322</v>
      </c>
      <c r="F320" t="inlineStr">
        <is>
          <t>VÄSTRA GÖTALANDS LÄN</t>
        </is>
      </c>
      <c r="G320" t="inlineStr">
        <is>
          <t>TIDAHOLM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14907-2023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45013</v>
      </c>
      <c r="E321" s="1" t="n">
        <v>46322</v>
      </c>
      <c r="F321" t="inlineStr">
        <is>
          <t>VÄSTRA GÖTALANDS LÄN</t>
        </is>
      </c>
      <c r="G321" t="inlineStr">
        <is>
          <t>TIDAHOLM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18249-2022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44685</v>
      </c>
      <c r="E322" s="1" t="n">
        <v>46322</v>
      </c>
      <c r="F322" t="inlineStr">
        <is>
          <t>VÄSTRA GÖTALANDS LÄN</t>
        </is>
      </c>
      <c r="G322" t="inlineStr">
        <is>
          <t>TIDAHOLM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45047</v>
      </c>
      <c r="E323" s="1" t="n">
        <v>46322</v>
      </c>
      <c r="F323" t="inlineStr">
        <is>
          <t>VÄSTRA GÖTALANDS LÄN</t>
        </is>
      </c>
      <c r="G323" t="inlineStr">
        <is>
          <t>TIDAHOLM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46322</v>
      </c>
      <c r="F324" t="inlineStr">
        <is>
          <t>VÄSTRA GÖTALANDS LÄN</t>
        </is>
      </c>
      <c r="G324" t="inlineStr">
        <is>
          <t>TIDAHOLM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46322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46322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45311</v>
      </c>
      <c r="E327" s="1" t="n">
        <v>46322</v>
      </c>
      <c r="F327" t="inlineStr">
        <is>
          <t>VÄSTRA GÖTALANDS LÄN</t>
        </is>
      </c>
      <c r="G327" t="inlineStr">
        <is>
          <t>TIDAHOLM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45814</v>
      </c>
      <c r="E328" s="1" t="n">
        <v>46322</v>
      </c>
      <c r="F328" t="inlineStr">
        <is>
          <t>VÄSTRA GÖTALANDS LÄN</t>
        </is>
      </c>
      <c r="G328" t="inlineStr">
        <is>
          <t>TIDAHOLM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45392</v>
      </c>
      <c r="E329" s="1" t="n">
        <v>46322</v>
      </c>
      <c r="F329" t="inlineStr">
        <is>
          <t>VÄSTRA GÖTALANDS LÄN</t>
        </is>
      </c>
      <c r="G329" t="inlineStr">
        <is>
          <t>TIDAHOLM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44958</v>
      </c>
      <c r="E330" s="1" t="n">
        <v>46322</v>
      </c>
      <c r="F330" t="inlineStr">
        <is>
          <t>VÄSTRA GÖTALANDS LÄN</t>
        </is>
      </c>
      <c r="G330" t="inlineStr">
        <is>
          <t>TIDAHOLM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46322</v>
      </c>
      <c r="F331" t="inlineStr">
        <is>
          <t>VÄSTRA GÖTALANDS LÄN</t>
        </is>
      </c>
      <c r="G331" t="inlineStr">
        <is>
          <t>TIDAHOLM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46322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45576</v>
      </c>
      <c r="E333" s="1" t="n">
        <v>46322</v>
      </c>
      <c r="F333" t="inlineStr">
        <is>
          <t>VÄSTRA GÖTALANDS LÄN</t>
        </is>
      </c>
      <c r="G333" t="inlineStr">
        <is>
          <t>TIDAHOLM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46251</v>
      </c>
      <c r="E334" s="1" t="n">
        <v>46322</v>
      </c>
      <c r="F334" t="inlineStr">
        <is>
          <t>VÄSTRA GÖTALANDS LÄN</t>
        </is>
      </c>
      <c r="G334" t="inlineStr">
        <is>
          <t>TIDAHOLM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44930</v>
      </c>
      <c r="E335" s="1" t="n">
        <v>46322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46322</v>
      </c>
      <c r="F336" t="inlineStr">
        <is>
          <t>VÄSTRA GÖTALANDS LÄN</t>
        </is>
      </c>
      <c r="G336" t="inlineStr">
        <is>
          <t>TIDAHOLM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7917-2023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44973</v>
      </c>
      <c r="E337" s="1" t="n">
        <v>46322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44915</v>
      </c>
      <c r="E338" s="1" t="n">
        <v>46322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61362-2022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44915</v>
      </c>
      <c r="E339" s="1" t="n">
        <v>46322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46322</v>
      </c>
      <c r="F340" t="inlineStr">
        <is>
          <t>VÄSTRA GÖTALANDS LÄN</t>
        </is>
      </c>
      <c r="G340" t="inlineStr">
        <is>
          <t>TIDAHOLM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60646-2022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44911</v>
      </c>
      <c r="E341" s="1" t="n">
        <v>46322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25260-2026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46175</v>
      </c>
      <c r="E342" s="1" t="n">
        <v>46322</v>
      </c>
      <c r="F342" t="inlineStr">
        <is>
          <t>VÄSTRA GÖTALANDS LÄN</t>
        </is>
      </c>
      <c r="G342" t="inlineStr">
        <is>
          <t>TIDAHOLM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46175</v>
      </c>
      <c r="E343" s="1" t="n">
        <v>46322</v>
      </c>
      <c r="F343" t="inlineStr">
        <is>
          <t>VÄSTRA GÖTALANDS LÄN</t>
        </is>
      </c>
      <c r="G343" t="inlineStr">
        <is>
          <t>TIDAHOLM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46322</v>
      </c>
      <c r="F344" t="inlineStr">
        <is>
          <t>VÄSTRA GÖTALANDS LÄN</t>
        </is>
      </c>
      <c r="G344" t="inlineStr">
        <is>
          <t>TIDAHOLM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46322</v>
      </c>
      <c r="F345" t="inlineStr">
        <is>
          <t>VÄSTRA GÖTALANDS LÄN</t>
        </is>
      </c>
      <c r="G345" t="inlineStr">
        <is>
          <t>TIDAHOLM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61587-2021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46322</v>
      </c>
      <c r="F346" t="inlineStr">
        <is>
          <t>VÄSTRA GÖTALANDS LÄN</t>
        </is>
      </c>
      <c r="G346" t="inlineStr">
        <is>
          <t>TIDAHOLM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26525-2024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46322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46322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Kyrkan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44972</v>
      </c>
      <c r="E349" s="1" t="n">
        <v>46322</v>
      </c>
      <c r="F349" t="inlineStr">
        <is>
          <t>VÄSTRA GÖTALANDS LÄN</t>
        </is>
      </c>
      <c r="G349" t="inlineStr">
        <is>
          <t>TIDAHOLM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46322</v>
      </c>
      <c r="F350" t="inlineStr">
        <is>
          <t>VÄSTRA GÖTALANDS LÄN</t>
        </is>
      </c>
      <c r="G350" t="inlineStr">
        <is>
          <t>TIDAHOLM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46322</v>
      </c>
      <c r="F351" t="inlineStr">
        <is>
          <t>VÄSTRA GÖTALANDS LÄN</t>
        </is>
      </c>
      <c r="G351" t="inlineStr">
        <is>
          <t>TIDAHOLM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44766</v>
      </c>
      <c r="E352" s="1" t="n">
        <v>46322</v>
      </c>
      <c r="F352" t="inlineStr">
        <is>
          <t>VÄSTRA GÖTALANDS LÄN</t>
        </is>
      </c>
      <c r="G352" t="inlineStr">
        <is>
          <t>TIDAHOLM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46322</v>
      </c>
      <c r="F353" t="inlineStr">
        <is>
          <t>VÄSTRA GÖTALANDS LÄN</t>
        </is>
      </c>
      <c r="G353" t="inlineStr">
        <is>
          <t>TIDAHOLM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46322</v>
      </c>
      <c r="F354" t="inlineStr">
        <is>
          <t>VÄSTRA GÖTALANDS LÄN</t>
        </is>
      </c>
      <c r="G354" t="inlineStr">
        <is>
          <t>TIDAHOLM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46322</v>
      </c>
      <c r="F355" t="inlineStr">
        <is>
          <t>VÄSTRA GÖTALANDS LÄN</t>
        </is>
      </c>
      <c r="G355" t="inlineStr">
        <is>
          <t>TIDAHOLM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50294-2022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44865</v>
      </c>
      <c r="E356" s="1" t="n">
        <v>46322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45070</v>
      </c>
      <c r="E357" s="1" t="n">
        <v>46322</v>
      </c>
      <c r="F357" t="inlineStr">
        <is>
          <t>VÄSTRA GÖTALANDS LÄN</t>
        </is>
      </c>
      <c r="G357" t="inlineStr">
        <is>
          <t>TIDAHOLM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45155</v>
      </c>
      <c r="E358" s="1" t="n">
        <v>46322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57965-2022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46322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45225</v>
      </c>
      <c r="E360" s="1" t="n">
        <v>46322</v>
      </c>
      <c r="F360" t="inlineStr">
        <is>
          <t>VÄSTRA GÖTALANDS LÄN</t>
        </is>
      </c>
      <c r="G360" t="inlineStr">
        <is>
          <t>TIDAHOLM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45587</v>
      </c>
      <c r="E361" s="1" t="n">
        <v>46322</v>
      </c>
      <c r="F361" t="inlineStr">
        <is>
          <t>VÄSTRA GÖTALANDS LÄN</t>
        </is>
      </c>
      <c r="G361" t="inlineStr">
        <is>
          <t>TIDAHOLM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45007</v>
      </c>
      <c r="E362" s="1" t="n">
        <v>46322</v>
      </c>
      <c r="F362" t="inlineStr">
        <is>
          <t>VÄSTRA GÖTALANDS LÄN</t>
        </is>
      </c>
      <c r="G362" t="inlineStr">
        <is>
          <t>TIDAHOLM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44985</v>
      </c>
      <c r="E363" s="1" t="n">
        <v>46322</v>
      </c>
      <c r="F363" t="inlineStr">
        <is>
          <t>VÄSTRA GÖTALANDS LÄN</t>
        </is>
      </c>
      <c r="G363" t="inlineStr">
        <is>
          <t>TIDAHOLM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46322</v>
      </c>
      <c r="F364" t="inlineStr">
        <is>
          <t>VÄSTRA GÖTALANDS LÄN</t>
        </is>
      </c>
      <c r="G364" t="inlineStr">
        <is>
          <t>TIDAHOLM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46322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45485</v>
      </c>
      <c r="E366" s="1" t="n">
        <v>46322</v>
      </c>
      <c r="F366" t="inlineStr">
        <is>
          <t>VÄSTRA GÖTALANDS LÄN</t>
        </is>
      </c>
      <c r="G366" t="inlineStr">
        <is>
          <t>TIDAHOLM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46322</v>
      </c>
      <c r="F367" t="inlineStr">
        <is>
          <t>VÄSTRA GÖTALANDS LÄN</t>
        </is>
      </c>
      <c r="G367" t="inlineStr">
        <is>
          <t>TIDAHOLM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46322</v>
      </c>
      <c r="F368" t="inlineStr">
        <is>
          <t>VÄSTRA GÖTALANDS LÄN</t>
        </is>
      </c>
      <c r="G368" t="inlineStr">
        <is>
          <t>TIDAHOLM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7922-2023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44973</v>
      </c>
      <c r="E369" s="1" t="n">
        <v>46322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7931-2023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44973</v>
      </c>
      <c r="E370" s="1" t="n">
        <v>46322</v>
      </c>
      <c r="F370" t="inlineStr">
        <is>
          <t>VÄSTRA GÖTALANDS LÄN</t>
        </is>
      </c>
      <c r="G370" t="inlineStr">
        <is>
          <t>TIDAHOLM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45744</v>
      </c>
      <c r="E371" s="1" t="n">
        <v>46322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46266</v>
      </c>
      <c r="E372" s="1" t="n">
        <v>46322</v>
      </c>
      <c r="F372" t="inlineStr">
        <is>
          <t>VÄSTRA GÖTALANDS LÄN</t>
        </is>
      </c>
      <c r="G372" t="inlineStr">
        <is>
          <t>TIDAHOLM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44907</v>
      </c>
      <c r="E373" s="1" t="n">
        <v>46322</v>
      </c>
      <c r="F373" t="inlineStr">
        <is>
          <t>VÄSTRA GÖTALANDS LÄN</t>
        </is>
      </c>
      <c r="G373" t="inlineStr">
        <is>
          <t>TIDAHOLM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45758</v>
      </c>
      <c r="E374" s="1" t="n">
        <v>46322</v>
      </c>
      <c r="F374" t="inlineStr">
        <is>
          <t>VÄSTRA GÖTALANDS LÄN</t>
        </is>
      </c>
      <c r="G374" t="inlineStr">
        <is>
          <t>TIDAHOLM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46322</v>
      </c>
      <c r="F375" t="inlineStr">
        <is>
          <t>VÄSTRA GÖTALANDS LÄN</t>
        </is>
      </c>
      <c r="G375" t="inlineStr">
        <is>
          <t>TIDAHOLM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45334</v>
      </c>
      <c r="E376" s="1" t="n">
        <v>46322</v>
      </c>
      <c r="F376" t="inlineStr">
        <is>
          <t>VÄSTRA GÖTALANDS LÄN</t>
        </is>
      </c>
      <c r="G376" t="inlineStr">
        <is>
          <t>TIDAHOLM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46322</v>
      </c>
      <c r="F377" t="inlineStr">
        <is>
          <t>VÄSTRA GÖTALANDS LÄN</t>
        </is>
      </c>
      <c r="G377" t="inlineStr">
        <is>
          <t>TIDAHOLM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16382-2023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45029</v>
      </c>
      <c r="E378" s="1" t="n">
        <v>46322</v>
      </c>
      <c r="F378" t="inlineStr">
        <is>
          <t>VÄSTRA GÖTALANDS LÄN</t>
        </is>
      </c>
      <c r="G378" t="inlineStr">
        <is>
          <t>TIDAHOLM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45469</v>
      </c>
      <c r="E379" s="1" t="n">
        <v>46322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46315</v>
      </c>
      <c r="E380" s="1" t="n">
        <v>46322</v>
      </c>
      <c r="F380" t="inlineStr">
        <is>
          <t>VÄSTRA GÖTALANDS LÄN</t>
        </is>
      </c>
      <c r="G380" t="inlineStr">
        <is>
          <t>TIDAHOLM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44902</v>
      </c>
      <c r="E381" s="1" t="n">
        <v>46322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45265</v>
      </c>
      <c r="E382" s="1" t="n">
        <v>46322</v>
      </c>
      <c r="F382" t="inlineStr">
        <is>
          <t>VÄSTRA GÖTALANDS LÄN</t>
        </is>
      </c>
      <c r="G382" t="inlineStr">
        <is>
          <t>TIDAHOLM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46322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46303</v>
      </c>
      <c r="E384" s="1" t="n">
        <v>46322</v>
      </c>
      <c r="F384" t="inlineStr">
        <is>
          <t>VÄSTRA GÖTALANDS LÄN</t>
        </is>
      </c>
      <c r="G384" t="inlineStr">
        <is>
          <t>TIDAHOLM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46273</v>
      </c>
      <c r="E385" s="1" t="n">
        <v>46322</v>
      </c>
      <c r="F385" t="inlineStr">
        <is>
          <t>VÄSTRA GÖTALANDS LÄN</t>
        </is>
      </c>
      <c r="G385" t="inlineStr">
        <is>
          <t>TIDAHOLM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46322</v>
      </c>
      <c r="F386" t="inlineStr">
        <is>
          <t>VÄSTRA GÖTALANDS LÄN</t>
        </is>
      </c>
      <c r="G386" t="inlineStr">
        <is>
          <t>TIDAHOLM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46322</v>
      </c>
      <c r="F387" t="inlineStr">
        <is>
          <t>VÄSTRA GÖTALANDS LÄN</t>
        </is>
      </c>
      <c r="G387" t="inlineStr">
        <is>
          <t>TIDAHOLM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46315</v>
      </c>
      <c r="E388" s="1" t="n">
        <v>46322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Allmännings- och besparingsskogar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44183-2026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46315</v>
      </c>
      <c r="E389" s="1" t="n">
        <v>46322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Allmännings- och besparingsskogar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44152-2026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46315</v>
      </c>
      <c r="E390" s="1" t="n">
        <v>46322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Allmännings- och besparingsskogar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46322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46322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46322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46322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2026-10-27T03:10:04Z</dcterms:created>
  <dcterms:modified xmlns:dcterms="http://purl.org/dc/terms/" xmlns:xsi="http://www.w3.org/2001/XMLSchema-instance" xsi:type="dcterms:W3CDTF">2026-10-27T03:10:04Z</dcterms:modified>
</cp:coreProperties>
</file>