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46307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46307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46307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12332-2022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44637</v>
      </c>
      <c r="E18" s="1" t="n">
        <v>46307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Kommuner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HYPERLINK("https://klasma.github.io/Logging_1498/artfynd/A 12332-2022 artfynd.xlsx", "A 12332-2022")</f>
        <v/>
      </c>
      <c r="X18">
        <f>HYPERLINK("https://klasma.github.io/Logging_1498/kartor/A 12332-2022 karta.png", "A 12332-2022")</f>
        <v/>
      </c>
      <c r="Y18">
        <f>HYPERLINK("https://klasma.github.io/Logging_1498/kartor_geotiff/A 12332-2022 georefererad karta.tif", "A 12332-2022")</f>
        <v/>
      </c>
      <c r="AA18">
        <f>HYPERLINK("https://klasma.github.io/Logging_1498/klagomål/A 12332-2022 FSC-klagomål.docx", "A 12332-2022")</f>
        <v/>
      </c>
      <c r="AB18">
        <f>HYPERLINK("https://klasma.github.io/Logging_1498/klagomålsmail/A 12332-2022 FSC-klagomål mail.docx", "A 12332-2022")</f>
        <v/>
      </c>
      <c r="AC18">
        <f>HYPERLINK("https://klasma.github.io/Logging_1498/tillsyn/A 12332-2022 tillsynsbegäran.docx", "A 12332-2022")</f>
        <v/>
      </c>
      <c r="AD18">
        <f>HYPERLINK("https://klasma.github.io/Logging_1498/tillsynsmail/A 12332-2022 tillsynsbegäran mail.docx", "A 12332-2022")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46307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4052-2025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45684</v>
      </c>
      <c r="E20" s="1" t="n">
        <v>46307</v>
      </c>
      <c r="F20" t="inlineStr">
        <is>
          <t>VÄSTRA GÖTALANDS LÄN</t>
        </is>
      </c>
      <c r="G20" t="inlineStr">
        <is>
          <t>TIDAHOLM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HYPERLINK("https://klasma.github.io/Logging_1498/artfynd/A 4052-2025 artfynd.xlsx", "A 4052-2025")</f>
        <v/>
      </c>
      <c r="X20">
        <f>HYPERLINK("https://klasma.github.io/Logging_1498/kartor/A 4052-2025 karta.png", "A 4052-2025")</f>
        <v/>
      </c>
      <c r="Y20">
        <f>HYPERLINK("https://klasma.github.io/Logging_1498/kartor_geotiff/A 4052-2025 georefererad karta.tif", "A 4052-2025")</f>
        <v/>
      </c>
      <c r="AA20">
        <f>HYPERLINK("https://klasma.github.io/Logging_1498/klagomål/A 4052-2025 FSC-klagomål.docx", "A 4052-2025")</f>
        <v/>
      </c>
      <c r="AB20">
        <f>HYPERLINK("https://klasma.github.io/Logging_1498/klagomålsmail/A 4052-2025 FSC-klagomål mail.docx", "A 4052-2025")</f>
        <v/>
      </c>
      <c r="AC20">
        <f>HYPERLINK("https://klasma.github.io/Logging_1498/tillsyn/A 4052-2025 tillsynsbegäran.docx", "A 4052-2025")</f>
        <v/>
      </c>
      <c r="AD20">
        <f>HYPERLINK("https://klasma.github.io/Logging_1498/tillsynsmail/A 4052-2025 tillsynsbegäran mail.docx", "A 4052-2025")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46307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46307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HYPERLINK("https://klasma.github.io/Logging_1498/artfynd/A 57539-2023 artfynd.xlsx", "A 57539-2023")</f>
        <v/>
      </c>
      <c r="X23">
        <f>HYPERLINK("https://klasma.github.io/Logging_1498/kartor/A 57539-2023 karta.png", "A 57539-2023")</f>
        <v/>
      </c>
      <c r="Y23">
        <f>HYPERLINK("https://klasma.github.io/Logging_1498/kartor_geotiff/A 57539-2023 georefererad karta.tif", "A 57539-2023")</f>
        <v/>
      </c>
      <c r="AA23">
        <f>HYPERLINK("https://klasma.github.io/Logging_1498/klagomål/A 57539-2023 FSC-klagomål.docx", "A 57539-2023")</f>
        <v/>
      </c>
      <c r="AB23">
        <f>HYPERLINK("https://klasma.github.io/Logging_1498/klagomålsmail/A 57539-2023 FSC-klagomål mail.docx", "A 57539-2023")</f>
        <v/>
      </c>
      <c r="AC23">
        <f>HYPERLINK("https://klasma.github.io/Logging_1498/tillsyn/A 57539-2023 tillsynsbegäran.docx", "A 57539-2023")</f>
        <v/>
      </c>
      <c r="AD23">
        <f>HYPERLINK("https://klasma.github.io/Logging_1498/tillsynsmail/A 57539-2023 tillsynsbegäran mail.docx", "A 57539-2023")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46307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Gammelgransskål</t>
        </is>
      </c>
      <c r="W24">
        <f>HYPERLINK("https://klasma.github.io/Logging_1498/artfynd/A 54133-2023 artfynd.xlsx", "A 54133-2023")</f>
        <v/>
      </c>
      <c r="X24">
        <f>HYPERLINK("https://klasma.github.io/Logging_1498/kartor/A 54133-2023 karta.png", "A 54133-2023")</f>
        <v/>
      </c>
      <c r="Y24">
        <f>HYPERLINK("https://klasma.github.io/Logging_1498/kartor_geotiff/A 54133-2023 georefererad karta.tif", "A 54133-2023")</f>
        <v/>
      </c>
      <c r="AA24">
        <f>HYPERLINK("https://klasma.github.io/Logging_1498/klagomål/A 54133-2023 FSC-klagomål.docx", "A 54133-2023")</f>
        <v/>
      </c>
      <c r="AB24">
        <f>HYPERLINK("https://klasma.github.io/Logging_1498/klagomålsmail/A 54133-2023 FSC-klagomål mail.docx", "A 54133-2023")</f>
        <v/>
      </c>
      <c r="AC24">
        <f>HYPERLINK("https://klasma.github.io/Logging_1498/tillsyn/A 54133-2023 tillsynsbegäran.docx", "A 54133-2023")</f>
        <v/>
      </c>
      <c r="AD24">
        <f>HYPERLINK("https://klasma.github.io/Logging_1498/tillsynsmail/A 54133-2023 tillsynsbegäran mail.docx", "A 54133-2023")</f>
        <v/>
      </c>
    </row>
    <row r="25" ht="15" customHeight="1">
      <c r="A25" t="inlineStr">
        <is>
          <t>A 6813-2026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46307</v>
      </c>
      <c r="F25" t="inlineStr">
        <is>
          <t>VÄSTRA GÖTALANDS LÄN</t>
        </is>
      </c>
      <c r="G25" t="inlineStr">
        <is>
          <t>TIDAHOLM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HYPERLINK("https://klasma.github.io/Logging_1498/artfynd/A 6813-2026 artfynd.xlsx", "A 6813-2026")</f>
        <v/>
      </c>
      <c r="X25">
        <f>HYPERLINK("https://klasma.github.io/Logging_1498/kartor/A 6813-2026 karta.png", "A 6813-2026")</f>
        <v/>
      </c>
      <c r="Y25">
        <f>HYPERLINK("https://klasma.github.io/Logging_1498/kartor_geotiff/A 6813-2026 georefererad karta.tif", "A 6813-2026")</f>
        <v/>
      </c>
      <c r="AA25">
        <f>HYPERLINK("https://klasma.github.io/Logging_1498/klagomål/A 6813-2026 FSC-klagomål.docx", "A 6813-2026")</f>
        <v/>
      </c>
      <c r="AB25">
        <f>HYPERLINK("https://klasma.github.io/Logging_1498/klagomålsmail/A 6813-2026 FSC-klagomål mail.docx", "A 6813-2026")</f>
        <v/>
      </c>
      <c r="AC25">
        <f>HYPERLINK("https://klasma.github.io/Logging_1498/tillsyn/A 6813-2026 tillsynsbegäran.docx", "A 6813-2026")</f>
        <v/>
      </c>
      <c r="AD25">
        <f>HYPERLINK("https://klasma.github.io/Logging_1498/tillsynsmail/A 6813-2026 tillsynsbegäran mail.docx", "A 6813-2026")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46307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46307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46307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46307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46307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46307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46307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46307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46307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46307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46307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46307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46307</v>
      </c>
      <c r="F42" t="inlineStr">
        <is>
          <t>VÄSTRA GÖTALANDS LÄN</t>
        </is>
      </c>
      <c r="G42" t="inlineStr">
        <is>
          <t>TIDAHOLM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46307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46307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46307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46307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46307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46307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46307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44615</v>
      </c>
      <c r="E50" s="1" t="n">
        <v>46307</v>
      </c>
      <c r="F50" t="inlineStr">
        <is>
          <t>VÄSTRA GÖTALANDS LÄN</t>
        </is>
      </c>
      <c r="G50" t="inlineStr">
        <is>
          <t>TIDAHOLM</t>
        </is>
      </c>
      <c r="H50" t="inlineStr">
        <is>
          <t>Kyrkan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44588</v>
      </c>
      <c r="E51" s="1" t="n">
        <v>46307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46307</v>
      </c>
      <c r="F52" t="inlineStr">
        <is>
          <t>VÄSTRA GÖTALANDS LÄN</t>
        </is>
      </c>
      <c r="G52" t="inlineStr">
        <is>
          <t>TIDAHOLM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46307</v>
      </c>
      <c r="F53" t="inlineStr">
        <is>
          <t>VÄSTRA GÖTALANDS LÄN</t>
        </is>
      </c>
      <c r="G53" t="inlineStr">
        <is>
          <t>TIDAHOLM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46307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46307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46307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46307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46307</v>
      </c>
      <c r="F58" t="inlineStr">
        <is>
          <t>VÄSTRA GÖTALANDS LÄN</t>
        </is>
      </c>
      <c r="G58" t="inlineStr">
        <is>
          <t>TIDAHOLM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73025-2021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46307</v>
      </c>
      <c r="F59" t="inlineStr">
        <is>
          <t>VÄSTRA GÖTALANDS LÄN</t>
        </is>
      </c>
      <c r="G59" t="inlineStr">
        <is>
          <t>TIDAHOLM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73028-2021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46307</v>
      </c>
      <c r="F60" t="inlineStr">
        <is>
          <t>VÄSTRA GÖTALANDS LÄN</t>
        </is>
      </c>
      <c r="G60" t="inlineStr">
        <is>
          <t>TIDAHOLM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46307</v>
      </c>
      <c r="F61" t="inlineStr">
        <is>
          <t>VÄSTRA GÖTALANDS LÄN</t>
        </is>
      </c>
      <c r="G61" t="inlineStr">
        <is>
          <t>TIDAHOLM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46307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46307</v>
      </c>
      <c r="F63" t="inlineStr">
        <is>
          <t>VÄSTRA GÖTALANDS LÄN</t>
        </is>
      </c>
      <c r="G63" t="inlineStr">
        <is>
          <t>TIDAHOLM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46307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46307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46307</v>
      </c>
      <c r="F66" t="inlineStr">
        <is>
          <t>VÄSTRA GÖTALANDS LÄN</t>
        </is>
      </c>
      <c r="G66" t="inlineStr">
        <is>
          <t>TIDAHOLM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46307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68293-2021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46307</v>
      </c>
      <c r="F68" t="inlineStr">
        <is>
          <t>VÄSTRA GÖTALANDS LÄN</t>
        </is>
      </c>
      <c r="G68" t="inlineStr">
        <is>
          <t>TIDAHOLM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46307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66823-2021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46307</v>
      </c>
      <c r="F70" t="inlineStr">
        <is>
          <t>VÄSTRA GÖTALANDS LÄN</t>
        </is>
      </c>
      <c r="G70" t="inlineStr">
        <is>
          <t>TIDAHOLM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46307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45070</v>
      </c>
      <c r="E72" s="1" t="n">
        <v>46307</v>
      </c>
      <c r="F72" t="inlineStr">
        <is>
          <t>VÄSTRA GÖTALANDS LÄN</t>
        </is>
      </c>
      <c r="G72" t="inlineStr">
        <is>
          <t>TIDAHOLM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46307</v>
      </c>
      <c r="F73" t="inlineStr">
        <is>
          <t>VÄSTRA GÖTALANDS LÄN</t>
        </is>
      </c>
      <c r="G73" t="inlineStr">
        <is>
          <t>TIDAHOLM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32670-2023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45121</v>
      </c>
      <c r="E74" s="1" t="n">
        <v>46307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46307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46307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46307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46307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45469</v>
      </c>
      <c r="E79" s="1" t="n">
        <v>46307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46307</v>
      </c>
      <c r="F80" t="inlineStr">
        <is>
          <t>VÄSTRA GÖTALANDS LÄN</t>
        </is>
      </c>
      <c r="G80" t="inlineStr">
        <is>
          <t>TIDAHOLM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46307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44766</v>
      </c>
      <c r="E82" s="1" t="n">
        <v>46307</v>
      </c>
      <c r="F82" t="inlineStr">
        <is>
          <t>VÄSTRA GÖTALANDS LÄN</t>
        </is>
      </c>
      <c r="G82" t="inlineStr">
        <is>
          <t>TIDAHOLM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46307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45404</v>
      </c>
      <c r="E84" s="1" t="n">
        <v>46307</v>
      </c>
      <c r="F84" t="inlineStr">
        <is>
          <t>VÄSTRA GÖTALANDS LÄN</t>
        </is>
      </c>
      <c r="G84" t="inlineStr">
        <is>
          <t>TIDAHOLM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16382-2023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45029</v>
      </c>
      <c r="E85" s="1" t="n">
        <v>46307</v>
      </c>
      <c r="F85" t="inlineStr">
        <is>
          <t>VÄSTRA GÖTALANDS LÄN</t>
        </is>
      </c>
      <c r="G85" t="inlineStr">
        <is>
          <t>TIDAHOLM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46307</v>
      </c>
      <c r="F86" t="inlineStr">
        <is>
          <t>VÄSTRA GÖTALANDS LÄN</t>
        </is>
      </c>
      <c r="G86" t="inlineStr">
        <is>
          <t>TIDAHOLM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46307</v>
      </c>
      <c r="F87" t="inlineStr">
        <is>
          <t>VÄSTRA GÖTALANDS LÄN</t>
        </is>
      </c>
      <c r="G87" t="inlineStr">
        <is>
          <t>TIDAHOLM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46307</v>
      </c>
      <c r="F88" t="inlineStr">
        <is>
          <t>VÄSTRA GÖTALANDS LÄN</t>
        </is>
      </c>
      <c r="G88" t="inlineStr">
        <is>
          <t>TIDAHOLM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46307</v>
      </c>
      <c r="F89" t="inlineStr">
        <is>
          <t>VÄSTRA GÖTALANDS LÄN</t>
        </is>
      </c>
      <c r="G89" t="inlineStr">
        <is>
          <t>TIDAHOLM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46307</v>
      </c>
      <c r="F90" t="inlineStr">
        <is>
          <t>VÄSTRA GÖTALANDS LÄN</t>
        </is>
      </c>
      <c r="G90" t="inlineStr">
        <is>
          <t>TIDAHOLM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45495</v>
      </c>
      <c r="E91" s="1" t="n">
        <v>46307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45495</v>
      </c>
      <c r="E92" s="1" t="n">
        <v>46307</v>
      </c>
      <c r="F92" t="inlineStr">
        <is>
          <t>VÄSTRA GÖTALANDS LÄN</t>
        </is>
      </c>
      <c r="G92" t="inlineStr">
        <is>
          <t>TIDAHOLM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46307</v>
      </c>
      <c r="F93" t="inlineStr">
        <is>
          <t>VÄSTRA GÖTALANDS LÄN</t>
        </is>
      </c>
      <c r="G93" t="inlineStr">
        <is>
          <t>TIDAHOLM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46307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45156</v>
      </c>
      <c r="E95" s="1" t="n">
        <v>46307</v>
      </c>
      <c r="F95" t="inlineStr">
        <is>
          <t>VÄSTRA GÖTALANDS LÄN</t>
        </is>
      </c>
      <c r="G95" t="inlineStr">
        <is>
          <t>TIDAHOLM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46307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46307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46307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46307</v>
      </c>
      <c r="F99" t="inlineStr">
        <is>
          <t>VÄSTRA GÖTALANDS LÄN</t>
        </is>
      </c>
      <c r="G99" t="inlineStr">
        <is>
          <t>TIDAHOLM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46307</v>
      </c>
      <c r="F100" t="inlineStr">
        <is>
          <t>VÄSTRA GÖTALANDS LÄN</t>
        </is>
      </c>
      <c r="G100" t="inlineStr">
        <is>
          <t>TIDAHOLM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46307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46307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46307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46307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61362-2022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44915</v>
      </c>
      <c r="E105" s="1" t="n">
        <v>46307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46307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46307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46307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44973</v>
      </c>
      <c r="E109" s="1" t="n">
        <v>46307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46307</v>
      </c>
      <c r="F110" t="inlineStr">
        <is>
          <t>VÄSTRA GÖTALANDS LÄN</t>
        </is>
      </c>
      <c r="G110" t="inlineStr">
        <is>
          <t>TIDAHOLM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46307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46307</v>
      </c>
      <c r="F112" t="inlineStr">
        <is>
          <t>VÄSTRA GÖTALANDS LÄN</t>
        </is>
      </c>
      <c r="G112" t="inlineStr">
        <is>
          <t>TIDAHOLM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46307</v>
      </c>
      <c r="F113" t="inlineStr">
        <is>
          <t>VÄSTRA GÖTALANDS LÄN</t>
        </is>
      </c>
      <c r="G113" t="inlineStr">
        <is>
          <t>TIDAHOLM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46307</v>
      </c>
      <c r="F114" t="inlineStr">
        <is>
          <t>VÄSTRA GÖTALANDS LÄN</t>
        </is>
      </c>
      <c r="G114" t="inlineStr">
        <is>
          <t>TIDAHOLM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44972</v>
      </c>
      <c r="E115" s="1" t="n">
        <v>46307</v>
      </c>
      <c r="F115" t="inlineStr">
        <is>
          <t>VÄSTRA GÖTALANDS LÄN</t>
        </is>
      </c>
      <c r="G115" t="inlineStr">
        <is>
          <t>TIDAHOLM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46307</v>
      </c>
      <c r="F116" t="inlineStr">
        <is>
          <t>VÄSTRA GÖTALANDS LÄN</t>
        </is>
      </c>
      <c r="G116" t="inlineStr">
        <is>
          <t>TIDAHOLM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46307</v>
      </c>
      <c r="F117" t="inlineStr">
        <is>
          <t>VÄSTRA GÖTALANDS LÄN</t>
        </is>
      </c>
      <c r="G117" t="inlineStr">
        <is>
          <t>TIDAHOLM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46307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46307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45006</v>
      </c>
      <c r="E120" s="1" t="n">
        <v>46307</v>
      </c>
      <c r="F120" t="inlineStr">
        <is>
          <t>VÄSTRA GÖTALANDS LÄN</t>
        </is>
      </c>
      <c r="G120" t="inlineStr">
        <is>
          <t>TIDAHOLM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45041</v>
      </c>
      <c r="E121" s="1" t="n">
        <v>46307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46307</v>
      </c>
      <c r="F122" t="inlineStr">
        <is>
          <t>VÄSTRA GÖTALANDS LÄN</t>
        </is>
      </c>
      <c r="G122" t="inlineStr">
        <is>
          <t>TIDAHOLM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46307</v>
      </c>
      <c r="F123" t="inlineStr">
        <is>
          <t>VÄSTRA GÖTALANDS LÄN</t>
        </is>
      </c>
      <c r="G123" t="inlineStr">
        <is>
          <t>TIDAHOLM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45485</v>
      </c>
      <c r="E124" s="1" t="n">
        <v>46307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46307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46307</v>
      </c>
      <c r="F126" t="inlineStr">
        <is>
          <t>VÄSTRA GÖTALANDS LÄN</t>
        </is>
      </c>
      <c r="G126" t="inlineStr">
        <is>
          <t>TIDAHOLM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46307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46307</v>
      </c>
      <c r="F128" t="inlineStr">
        <is>
          <t>VÄSTRA GÖTALANDS LÄN</t>
        </is>
      </c>
      <c r="G128" t="inlineStr">
        <is>
          <t>TIDAHOLM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68631-2021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46307</v>
      </c>
      <c r="F129" t="inlineStr">
        <is>
          <t>VÄSTRA GÖTALANDS LÄN</t>
        </is>
      </c>
      <c r="G129" t="inlineStr">
        <is>
          <t>TIDAHOLM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46307</v>
      </c>
      <c r="F130" t="inlineStr">
        <is>
          <t>VÄSTRA GÖTALANDS LÄN</t>
        </is>
      </c>
      <c r="G130" t="inlineStr">
        <is>
          <t>TIDAHOLM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45899</v>
      </c>
      <c r="E131" s="1" t="n">
        <v>46307</v>
      </c>
      <c r="F131" t="inlineStr">
        <is>
          <t>VÄSTRA GÖTALANDS LÄN</t>
        </is>
      </c>
      <c r="G131" t="inlineStr">
        <is>
          <t>TIDAHOLM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46307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46307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46307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46307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46307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46307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46307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46307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46307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60646-2022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44911</v>
      </c>
      <c r="E141" s="1" t="n">
        <v>46307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46307</v>
      </c>
      <c r="F142" t="inlineStr">
        <is>
          <t>VÄSTRA GÖTALANDS LÄN</t>
        </is>
      </c>
      <c r="G142" t="inlineStr">
        <is>
          <t>TIDAHOLM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46307</v>
      </c>
      <c r="F143" t="inlineStr">
        <is>
          <t>VÄSTRA GÖTALANDS LÄN</t>
        </is>
      </c>
      <c r="G143" t="inlineStr">
        <is>
          <t>TIDAHOLM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46307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44630</v>
      </c>
      <c r="E145" s="1" t="n">
        <v>46307</v>
      </c>
      <c r="F145" t="inlineStr">
        <is>
          <t>VÄSTRA GÖTALANDS LÄN</t>
        </is>
      </c>
      <c r="G145" t="inlineStr">
        <is>
          <t>TIDAHOLM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46307</v>
      </c>
      <c r="F146" t="inlineStr">
        <is>
          <t>VÄSTRA GÖTALANDS LÄN</t>
        </is>
      </c>
      <c r="G146" t="inlineStr">
        <is>
          <t>TIDAHOLM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45105</v>
      </c>
      <c r="E147" s="1" t="n">
        <v>46307</v>
      </c>
      <c r="F147" t="inlineStr">
        <is>
          <t>VÄSTRA GÖTALANDS LÄN</t>
        </is>
      </c>
      <c r="G147" t="inlineStr">
        <is>
          <t>TIDAHOLM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46307</v>
      </c>
      <c r="F148" t="inlineStr">
        <is>
          <t>VÄSTRA GÖTALANDS LÄN</t>
        </is>
      </c>
      <c r="G148" t="inlineStr">
        <is>
          <t>TIDAHOLM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46307</v>
      </c>
      <c r="F149" t="inlineStr">
        <is>
          <t>VÄSTRA GÖTALANDS LÄN</t>
        </is>
      </c>
      <c r="G149" t="inlineStr">
        <is>
          <t>TIDAHOLM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46307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46307</v>
      </c>
      <c r="F151" t="inlineStr">
        <is>
          <t>VÄSTRA GÖTALANDS LÄN</t>
        </is>
      </c>
      <c r="G151" t="inlineStr">
        <is>
          <t>TIDAHOLM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46307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45473</v>
      </c>
      <c r="E153" s="1" t="n">
        <v>46307</v>
      </c>
      <c r="F153" t="inlineStr">
        <is>
          <t>VÄSTRA GÖTALANDS LÄN</t>
        </is>
      </c>
      <c r="G153" t="inlineStr">
        <is>
          <t>TIDAHOLM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46307</v>
      </c>
      <c r="F154" t="inlineStr">
        <is>
          <t>VÄSTRA GÖTALANDS LÄN</t>
        </is>
      </c>
      <c r="G154" t="inlineStr">
        <is>
          <t>TIDAHOLM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46307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45556</v>
      </c>
      <c r="E156" s="1" t="n">
        <v>46307</v>
      </c>
      <c r="F156" t="inlineStr">
        <is>
          <t>VÄSTRA GÖTALANDS LÄN</t>
        </is>
      </c>
      <c r="G156" t="inlineStr">
        <is>
          <t>TIDAHOLM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45469</v>
      </c>
      <c r="E157" s="1" t="n">
        <v>46307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46307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46307</v>
      </c>
      <c r="F159" t="inlineStr">
        <is>
          <t>VÄSTRA GÖTALANDS LÄN</t>
        </is>
      </c>
      <c r="G159" t="inlineStr">
        <is>
          <t>TIDAHOLM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46307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45047</v>
      </c>
      <c r="E161" s="1" t="n">
        <v>46307</v>
      </c>
      <c r="F161" t="inlineStr">
        <is>
          <t>VÄSTRA GÖTALANDS LÄN</t>
        </is>
      </c>
      <c r="G161" t="inlineStr">
        <is>
          <t>TIDAHOLM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45007</v>
      </c>
      <c r="E162" s="1" t="n">
        <v>46307</v>
      </c>
      <c r="F162" t="inlineStr">
        <is>
          <t>VÄSTRA GÖTALANDS LÄN</t>
        </is>
      </c>
      <c r="G162" t="inlineStr">
        <is>
          <t>TIDAHOLM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44910</v>
      </c>
      <c r="E163" s="1" t="n">
        <v>46307</v>
      </c>
      <c r="F163" t="inlineStr">
        <is>
          <t>VÄSTRA GÖTALANDS LÄN</t>
        </is>
      </c>
      <c r="G163" t="inlineStr">
        <is>
          <t>TIDAHOLM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46307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46307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33568-2024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45519</v>
      </c>
      <c r="E166" s="1" t="n">
        <v>46307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46307</v>
      </c>
      <c r="F167" t="inlineStr">
        <is>
          <t>VÄSTRA GÖTALANDS LÄN</t>
        </is>
      </c>
      <c r="G167" t="inlineStr">
        <is>
          <t>TIDAHOLM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45669</v>
      </c>
      <c r="E168" s="1" t="n">
        <v>46307</v>
      </c>
      <c r="F168" t="inlineStr">
        <is>
          <t>VÄSTRA GÖTALANDS LÄN</t>
        </is>
      </c>
      <c r="G168" t="inlineStr">
        <is>
          <t>TIDAHOLM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46307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46307</v>
      </c>
      <c r="F170" t="inlineStr">
        <is>
          <t>VÄSTRA GÖTALANDS LÄN</t>
        </is>
      </c>
      <c r="G170" t="inlineStr">
        <is>
          <t>TIDAHOLM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46307</v>
      </c>
      <c r="F171" t="inlineStr">
        <is>
          <t>VÄSTRA GÖTALANDS LÄN</t>
        </is>
      </c>
      <c r="G171" t="inlineStr">
        <is>
          <t>TIDAHOLM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46307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45711</v>
      </c>
      <c r="E173" s="1" t="n">
        <v>46307</v>
      </c>
      <c r="F173" t="inlineStr">
        <is>
          <t>VÄSTRA GÖTALANDS LÄN</t>
        </is>
      </c>
      <c r="G173" t="inlineStr">
        <is>
          <t>TIDAHOLM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46307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46307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46307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46307</v>
      </c>
      <c r="F177" t="inlineStr">
        <is>
          <t>VÄSTRA GÖTALANDS LÄN</t>
        </is>
      </c>
      <c r="G177" t="inlineStr">
        <is>
          <t>TIDAHOLM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46307</v>
      </c>
      <c r="F178" t="inlineStr">
        <is>
          <t>VÄSTRA GÖTALANDS LÄN</t>
        </is>
      </c>
      <c r="G178" t="inlineStr">
        <is>
          <t>TIDAHOLM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46307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46307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46307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35479-2023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46307</v>
      </c>
      <c r="F182" t="inlineStr">
        <is>
          <t>VÄSTRA GÖTALANDS LÄN</t>
        </is>
      </c>
      <c r="G182" t="inlineStr">
        <is>
          <t>TIDAHOLM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46307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46307</v>
      </c>
      <c r="F184" t="inlineStr">
        <is>
          <t>VÄSTRA GÖTALANDS LÄN</t>
        </is>
      </c>
      <c r="G184" t="inlineStr">
        <is>
          <t>TIDAHOLM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46307</v>
      </c>
      <c r="F185" t="inlineStr">
        <is>
          <t>VÄSTRA GÖTALANDS LÄN</t>
        </is>
      </c>
      <c r="G185" t="inlineStr">
        <is>
          <t>TIDAHOLM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46307</v>
      </c>
      <c r="F186" t="inlineStr">
        <is>
          <t>VÄSTRA GÖTALANDS LÄN</t>
        </is>
      </c>
      <c r="G186" t="inlineStr">
        <is>
          <t>TIDAHOLM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46307</v>
      </c>
      <c r="F187" t="inlineStr">
        <is>
          <t>VÄSTRA GÖTALANDS LÄN</t>
        </is>
      </c>
      <c r="G187" t="inlineStr">
        <is>
          <t>TIDAHOLM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46307</v>
      </c>
      <c r="F188" t="inlineStr">
        <is>
          <t>VÄSTRA GÖTALANDS LÄN</t>
        </is>
      </c>
      <c r="G188" t="inlineStr">
        <is>
          <t>TIDAHOLM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44630</v>
      </c>
      <c r="E189" s="1" t="n">
        <v>46307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46307</v>
      </c>
      <c r="F190" t="inlineStr">
        <is>
          <t>VÄSTRA GÖTALANDS LÄN</t>
        </is>
      </c>
      <c r="G190" t="inlineStr">
        <is>
          <t>TIDAHOLM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46307</v>
      </c>
      <c r="F191" t="inlineStr">
        <is>
          <t>VÄSTRA GÖTALANDS LÄN</t>
        </is>
      </c>
      <c r="G191" t="inlineStr">
        <is>
          <t>TIDAHOLM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46307</v>
      </c>
      <c r="F192" t="inlineStr">
        <is>
          <t>VÄSTRA GÖTALANDS LÄN</t>
        </is>
      </c>
      <c r="G192" t="inlineStr">
        <is>
          <t>TIDAHOLM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46307</v>
      </c>
      <c r="F193" t="inlineStr">
        <is>
          <t>VÄSTRA GÖTALANDS LÄN</t>
        </is>
      </c>
      <c r="G193" t="inlineStr">
        <is>
          <t>TIDAHOLM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46307</v>
      </c>
      <c r="F194" t="inlineStr">
        <is>
          <t>VÄSTRA GÖTALANDS LÄN</t>
        </is>
      </c>
      <c r="G194" t="inlineStr">
        <is>
          <t>TIDAHOLM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45030</v>
      </c>
      <c r="E195" s="1" t="n">
        <v>46307</v>
      </c>
      <c r="F195" t="inlineStr">
        <is>
          <t>VÄSTRA GÖTALANDS LÄN</t>
        </is>
      </c>
      <c r="G195" t="inlineStr">
        <is>
          <t>TIDAHOLM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46307</v>
      </c>
      <c r="F196" t="inlineStr">
        <is>
          <t>VÄSTRA GÖTALANDS LÄN</t>
        </is>
      </c>
      <c r="G196" t="inlineStr">
        <is>
          <t>TIDAHOLM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46307</v>
      </c>
      <c r="F197" t="inlineStr">
        <is>
          <t>VÄSTRA GÖTALANDS LÄN</t>
        </is>
      </c>
      <c r="G197" t="inlineStr">
        <is>
          <t>TIDAHOLM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46307</v>
      </c>
      <c r="F198" t="inlineStr">
        <is>
          <t>VÄSTRA GÖTALANDS LÄN</t>
        </is>
      </c>
      <c r="G198" t="inlineStr">
        <is>
          <t>TIDAHOLM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45048</v>
      </c>
      <c r="E199" s="1" t="n">
        <v>46307</v>
      </c>
      <c r="F199" t="inlineStr">
        <is>
          <t>VÄSTRA GÖTALANDS LÄN</t>
        </is>
      </c>
      <c r="G199" t="inlineStr">
        <is>
          <t>TIDAHOLM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46307</v>
      </c>
      <c r="F200" t="inlineStr">
        <is>
          <t>VÄSTRA GÖTALANDS LÄN</t>
        </is>
      </c>
      <c r="G200" t="inlineStr">
        <is>
          <t>TIDAHOLM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46307</v>
      </c>
      <c r="F201" t="inlineStr">
        <is>
          <t>VÄSTRA GÖTALANDS LÄN</t>
        </is>
      </c>
      <c r="G201" t="inlineStr">
        <is>
          <t>TIDAHOLM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45205</v>
      </c>
      <c r="E202" s="1" t="n">
        <v>46307</v>
      </c>
      <c r="F202" t="inlineStr">
        <is>
          <t>VÄSTRA GÖTALANDS LÄN</t>
        </is>
      </c>
      <c r="G202" t="inlineStr">
        <is>
          <t>TIDAHOLM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46307</v>
      </c>
      <c r="F203" t="inlineStr">
        <is>
          <t>VÄSTRA GÖTALANDS LÄN</t>
        </is>
      </c>
      <c r="G203" t="inlineStr">
        <is>
          <t>TIDAHOLM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46307</v>
      </c>
      <c r="F204" t="inlineStr">
        <is>
          <t>VÄSTRA GÖTALANDS LÄN</t>
        </is>
      </c>
      <c r="G204" t="inlineStr">
        <is>
          <t>TIDAHOLM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46307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22.5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44610</v>
      </c>
      <c r="E206" s="1" t="n">
        <v>46307</v>
      </c>
      <c r="F206" t="inlineStr">
        <is>
          <t>VÄSTRA GÖTALANDS LÄN</t>
        </is>
      </c>
      <c r="G206" t="inlineStr">
        <is>
          <t>TIDAHOLM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46307</v>
      </c>
      <c r="F207" t="inlineStr">
        <is>
          <t>VÄSTRA GÖTALANDS LÄN</t>
        </is>
      </c>
      <c r="G207" t="inlineStr">
        <is>
          <t>TIDAHOLM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46307</v>
      </c>
      <c r="F208" t="inlineStr">
        <is>
          <t>VÄSTRA GÖTALANDS LÄN</t>
        </is>
      </c>
      <c r="G208" t="inlineStr">
        <is>
          <t>TIDAHOLM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46307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44997</v>
      </c>
      <c r="E210" s="1" t="n">
        <v>46307</v>
      </c>
      <c r="F210" t="inlineStr">
        <is>
          <t>VÄSTRA GÖTALANDS LÄN</t>
        </is>
      </c>
      <c r="G210" t="inlineStr">
        <is>
          <t>TIDAHOLM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46307</v>
      </c>
      <c r="F211" t="inlineStr">
        <is>
          <t>VÄSTRA GÖTALANDS LÄN</t>
        </is>
      </c>
      <c r="G211" t="inlineStr">
        <is>
          <t>TIDAHOLM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45596</v>
      </c>
      <c r="E212" s="1" t="n">
        <v>46307</v>
      </c>
      <c r="F212" t="inlineStr">
        <is>
          <t>VÄSTRA GÖTALANDS LÄN</t>
        </is>
      </c>
      <c r="G212" t="inlineStr">
        <is>
          <t>TIDAHOLM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64394-2023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45280</v>
      </c>
      <c r="E213" s="1" t="n">
        <v>46307</v>
      </c>
      <c r="F213" t="inlineStr">
        <is>
          <t>VÄSTRA GÖTALANDS LÄN</t>
        </is>
      </c>
      <c r="G213" t="inlineStr">
        <is>
          <t>TIDAHOLM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45352</v>
      </c>
      <c r="E214" s="1" t="n">
        <v>46307</v>
      </c>
      <c r="F214" t="inlineStr">
        <is>
          <t>VÄSTRA GÖTALANDS LÄN</t>
        </is>
      </c>
      <c r="G214" t="inlineStr">
        <is>
          <t>TIDAHOLM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46307</v>
      </c>
      <c r="F215" t="inlineStr">
        <is>
          <t>VÄSTRA GÖTALANDS LÄN</t>
        </is>
      </c>
      <c r="G215" t="inlineStr">
        <is>
          <t>TIDAHOLM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46307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46307</v>
      </c>
      <c r="F217" t="inlineStr">
        <is>
          <t>VÄSTRA GÖTALANDS LÄN</t>
        </is>
      </c>
      <c r="G217" t="inlineStr">
        <is>
          <t>TIDAHOLM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46307</v>
      </c>
      <c r="F218" t="inlineStr">
        <is>
          <t>VÄSTRA GÖTALANDS LÄN</t>
        </is>
      </c>
      <c r="G218" t="inlineStr">
        <is>
          <t>TIDAHOLM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46307</v>
      </c>
      <c r="F219" t="inlineStr">
        <is>
          <t>VÄSTRA GÖTALANDS LÄN</t>
        </is>
      </c>
      <c r="G219" t="inlineStr">
        <is>
          <t>TIDAHOLM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46307</v>
      </c>
      <c r="F220" t="inlineStr">
        <is>
          <t>VÄSTRA GÖTALANDS LÄN</t>
        </is>
      </c>
      <c r="G220" t="inlineStr">
        <is>
          <t>TIDAHOLM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46307</v>
      </c>
      <c r="F221" t="inlineStr">
        <is>
          <t>VÄSTRA GÖTALANDS LÄN</t>
        </is>
      </c>
      <c r="G221" t="inlineStr">
        <is>
          <t>TIDAHOLM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46307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46307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45013</v>
      </c>
      <c r="E224" s="1" t="n">
        <v>46307</v>
      </c>
      <c r="F224" t="inlineStr">
        <is>
          <t>VÄSTRA GÖTALANDS LÄN</t>
        </is>
      </c>
      <c r="G224" t="inlineStr">
        <is>
          <t>TIDAHOLM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46307</v>
      </c>
      <c r="F225" t="inlineStr">
        <is>
          <t>VÄSTRA GÖTALANDS LÄN</t>
        </is>
      </c>
      <c r="G225" t="inlineStr">
        <is>
          <t>TIDAHOLM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44693</v>
      </c>
      <c r="E226" s="1" t="n">
        <v>46307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46307</v>
      </c>
      <c r="F227" t="inlineStr">
        <is>
          <t>VÄSTRA GÖTALANDS LÄN</t>
        </is>
      </c>
      <c r="G227" t="inlineStr">
        <is>
          <t>TIDAHOLM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46307</v>
      </c>
      <c r="F228" t="inlineStr">
        <is>
          <t>VÄSTRA GÖTALANDS LÄN</t>
        </is>
      </c>
      <c r="G228" t="inlineStr">
        <is>
          <t>TIDAHOLM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46307</v>
      </c>
      <c r="F229" t="inlineStr">
        <is>
          <t>VÄSTRA GÖTALANDS LÄN</t>
        </is>
      </c>
      <c r="G229" t="inlineStr">
        <is>
          <t>TIDAHOLM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46307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46307</v>
      </c>
      <c r="F231" t="inlineStr">
        <is>
          <t>VÄSTRA GÖTALANDS LÄN</t>
        </is>
      </c>
      <c r="G231" t="inlineStr">
        <is>
          <t>TIDAHOLM</t>
        </is>
      </c>
      <c r="I231" t="n">
        <v>18.8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46307</v>
      </c>
      <c r="F232" t="inlineStr">
        <is>
          <t>VÄSTRA GÖTALANDS LÄN</t>
        </is>
      </c>
      <c r="G232" t="inlineStr">
        <is>
          <t>TIDAHOLM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46307</v>
      </c>
      <c r="F233" t="inlineStr">
        <is>
          <t>VÄSTRA GÖTALANDS LÄN</t>
        </is>
      </c>
      <c r="G233" t="inlineStr">
        <is>
          <t>TIDAHOLM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46307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46307</v>
      </c>
      <c r="F235" t="inlineStr">
        <is>
          <t>VÄSTRA GÖTALANDS LÄN</t>
        </is>
      </c>
      <c r="G235" t="inlineStr">
        <is>
          <t>TIDAHOLM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46307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46307</v>
      </c>
      <c r="F237" t="inlineStr">
        <is>
          <t>VÄSTRA GÖTALANDS LÄN</t>
        </is>
      </c>
      <c r="G237" t="inlineStr">
        <is>
          <t>TIDAHOLM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44720</v>
      </c>
      <c r="E238" s="1" t="n">
        <v>46307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45784</v>
      </c>
      <c r="E239" s="1" t="n">
        <v>46307</v>
      </c>
      <c r="F239" t="inlineStr">
        <is>
          <t>VÄSTRA GÖTALANDS LÄN</t>
        </is>
      </c>
      <c r="G239" t="inlineStr">
        <is>
          <t>TIDAHOLM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46307</v>
      </c>
      <c r="F240" t="inlineStr">
        <is>
          <t>VÄSTRA GÖTALANDS LÄN</t>
        </is>
      </c>
      <c r="G240" t="inlineStr">
        <is>
          <t>TIDAHOLM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46307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46307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46307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44685</v>
      </c>
      <c r="E244" s="1" t="n">
        <v>46307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46307</v>
      </c>
      <c r="F245" t="inlineStr">
        <is>
          <t>VÄSTRA GÖTALANDS LÄN</t>
        </is>
      </c>
      <c r="G245" t="inlineStr">
        <is>
          <t>TIDAHOLM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46307</v>
      </c>
      <c r="F246" t="inlineStr">
        <is>
          <t>VÄSTRA GÖTALANDS LÄN</t>
        </is>
      </c>
      <c r="G246" t="inlineStr">
        <is>
          <t>TIDAHOLM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46307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45752</v>
      </c>
      <c r="E248" s="1" t="n">
        <v>46307</v>
      </c>
      <c r="F248" t="inlineStr">
        <is>
          <t>VÄSTRA GÖTALANDS LÄN</t>
        </is>
      </c>
      <c r="G248" t="inlineStr">
        <is>
          <t>TIDAHOLM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46307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44720</v>
      </c>
      <c r="E250" s="1" t="n">
        <v>46307</v>
      </c>
      <c r="F250" t="inlineStr">
        <is>
          <t>VÄSTRA GÖTALANDS LÄN</t>
        </is>
      </c>
      <c r="G250" t="inlineStr">
        <is>
          <t>TIDAHOLM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46307</v>
      </c>
      <c r="F251" t="inlineStr">
        <is>
          <t>VÄSTRA GÖTALANDS LÄN</t>
        </is>
      </c>
      <c r="G251" t="inlineStr">
        <is>
          <t>TIDAHOLM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46307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46307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46307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46307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46307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46307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46307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46307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46307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46307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46307</v>
      </c>
      <c r="F262" t="inlineStr">
        <is>
          <t>VÄSTRA GÖTALANDS LÄN</t>
        </is>
      </c>
      <c r="G262" t="inlineStr">
        <is>
          <t>TIDAHOLM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46307</v>
      </c>
      <c r="F263" t="inlineStr">
        <is>
          <t>VÄSTRA GÖTALANDS LÄN</t>
        </is>
      </c>
      <c r="G263" t="inlineStr">
        <is>
          <t>TIDAHOLM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46307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46307</v>
      </c>
      <c r="F265" t="inlineStr">
        <is>
          <t>VÄSTRA GÖTALANDS LÄN</t>
        </is>
      </c>
      <c r="G265" t="inlineStr">
        <is>
          <t>TIDAHOLM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46307</v>
      </c>
      <c r="F266" t="inlineStr">
        <is>
          <t>VÄSTRA GÖTALANDS LÄN</t>
        </is>
      </c>
      <c r="G266" t="inlineStr">
        <is>
          <t>TIDAHOLM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46307</v>
      </c>
      <c r="F267" t="inlineStr">
        <is>
          <t>VÄSTRA GÖTALANDS LÄN</t>
        </is>
      </c>
      <c r="G267" t="inlineStr">
        <is>
          <t>TIDAHOLM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46307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45669</v>
      </c>
      <c r="E269" s="1" t="n">
        <v>46307</v>
      </c>
      <c r="F269" t="inlineStr">
        <is>
          <t>VÄSTRA GÖTALANDS LÄN</t>
        </is>
      </c>
      <c r="G269" t="inlineStr">
        <is>
          <t>TIDAHOLM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45779</v>
      </c>
      <c r="E270" s="1" t="n">
        <v>46307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14334-2025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45740</v>
      </c>
      <c r="E271" s="1" t="n">
        <v>46307</v>
      </c>
      <c r="F271" t="inlineStr">
        <is>
          <t>VÄSTRA GÖTALANDS LÄN</t>
        </is>
      </c>
      <c r="G271" t="inlineStr">
        <is>
          <t>TIDAHOLM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46307</v>
      </c>
      <c r="F272" t="inlineStr">
        <is>
          <t>VÄSTRA GÖTALANDS LÄN</t>
        </is>
      </c>
      <c r="G272" t="inlineStr">
        <is>
          <t>TIDAHOLM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46307</v>
      </c>
      <c r="F273" t="inlineStr">
        <is>
          <t>VÄSTRA GÖTALANDS LÄN</t>
        </is>
      </c>
      <c r="G273" t="inlineStr">
        <is>
          <t>TIDAHOLM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46307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35388-2025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45855</v>
      </c>
      <c r="E275" s="1" t="n">
        <v>46307</v>
      </c>
      <c r="F275" t="inlineStr">
        <is>
          <t>VÄSTRA GÖTALANDS LÄN</t>
        </is>
      </c>
      <c r="G275" t="inlineStr">
        <is>
          <t>TIDAHOLM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46307</v>
      </c>
      <c r="F276" t="inlineStr">
        <is>
          <t>VÄSTRA GÖTALANDS LÄN</t>
        </is>
      </c>
      <c r="G276" t="inlineStr">
        <is>
          <t>TIDAHOLM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45336</v>
      </c>
      <c r="E277" s="1" t="n">
        <v>46307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45861</v>
      </c>
      <c r="E278" s="1" t="n">
        <v>46307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45534</v>
      </c>
      <c r="E279" s="1" t="n">
        <v>46307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46307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44783</v>
      </c>
      <c r="E281" s="1" t="n">
        <v>46307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46307</v>
      </c>
      <c r="F282" t="inlineStr">
        <is>
          <t>VÄSTRA GÖTALANDS LÄN</t>
        </is>
      </c>
      <c r="G282" t="inlineStr">
        <is>
          <t>TIDAHOLM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46307</v>
      </c>
      <c r="F283" t="inlineStr">
        <is>
          <t>VÄSTRA GÖTALANDS LÄN</t>
        </is>
      </c>
      <c r="G283" t="inlineStr">
        <is>
          <t>TIDAHOLM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46307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46307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Kyrkan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46307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46307</v>
      </c>
      <c r="F287" t="inlineStr">
        <is>
          <t>VÄSTRA GÖTALANDS LÄN</t>
        </is>
      </c>
      <c r="G287" t="inlineStr">
        <is>
          <t>TIDAHOLM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46307</v>
      </c>
      <c r="F288" t="inlineStr">
        <is>
          <t>VÄSTRA GÖTALANDS LÄN</t>
        </is>
      </c>
      <c r="G288" t="inlineStr">
        <is>
          <t>TIDAHOLM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46307</v>
      </c>
      <c r="F289" t="inlineStr">
        <is>
          <t>VÄSTRA GÖTALANDS LÄN</t>
        </is>
      </c>
      <c r="G289" t="inlineStr">
        <is>
          <t>TIDAHOLM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46307</v>
      </c>
      <c r="F290" t="inlineStr">
        <is>
          <t>VÄSTRA GÖTALANDS LÄN</t>
        </is>
      </c>
      <c r="G290" t="inlineStr">
        <is>
          <t>TIDAHOLM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46307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Allmännings- och besparingsskogar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46307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45744</v>
      </c>
      <c r="E293" s="1" t="n">
        <v>46307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46307</v>
      </c>
      <c r="F294" t="inlineStr">
        <is>
          <t>VÄSTRA GÖTALANDS LÄN</t>
        </is>
      </c>
      <c r="G294" t="inlineStr">
        <is>
          <t>TIDAHOLM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46307</v>
      </c>
      <c r="F295" t="inlineStr">
        <is>
          <t>VÄSTRA GÖTALANDS LÄN</t>
        </is>
      </c>
      <c r="G295" t="inlineStr">
        <is>
          <t>TIDAHOLM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46307</v>
      </c>
      <c r="F296" t="inlineStr">
        <is>
          <t>VÄSTRA GÖTALANDS LÄN</t>
        </is>
      </c>
      <c r="G296" t="inlineStr">
        <is>
          <t>TIDAHOLM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46307</v>
      </c>
      <c r="F297" t="inlineStr">
        <is>
          <t>VÄSTRA GÖTALANDS LÄN</t>
        </is>
      </c>
      <c r="G297" t="inlineStr">
        <is>
          <t>TIDAHOLM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69446-2021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46307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Kyrkan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46307</v>
      </c>
      <c r="F299" t="inlineStr">
        <is>
          <t>VÄSTRA GÖTALANDS LÄN</t>
        </is>
      </c>
      <c r="G299" t="inlineStr">
        <is>
          <t>TIDAHOLM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46307</v>
      </c>
      <c r="F300" t="inlineStr">
        <is>
          <t>VÄSTRA GÖTALANDS LÄN</t>
        </is>
      </c>
      <c r="G300" t="inlineStr">
        <is>
          <t>TIDAHOLM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46307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74340-2021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46307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46307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73728-2021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46307</v>
      </c>
      <c r="F304" t="inlineStr">
        <is>
          <t>VÄSTRA GÖTALANDS LÄN</t>
        </is>
      </c>
      <c r="G304" t="inlineStr">
        <is>
          <t>TIDAHOLM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61587-2021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46307</v>
      </c>
      <c r="F305" t="inlineStr">
        <is>
          <t>VÄSTRA GÖTALANDS LÄN</t>
        </is>
      </c>
      <c r="G305" t="inlineStr">
        <is>
          <t>TIDAHOLM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44664</v>
      </c>
      <c r="E306" s="1" t="n">
        <v>46307</v>
      </c>
      <c r="F306" t="inlineStr">
        <is>
          <t>VÄSTRA GÖTALANDS LÄN</t>
        </is>
      </c>
      <c r="G306" t="inlineStr">
        <is>
          <t>TIDAHOLM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46307</v>
      </c>
      <c r="F307" t="inlineStr">
        <is>
          <t>VÄSTRA GÖTALANDS LÄN</t>
        </is>
      </c>
      <c r="G307" t="inlineStr">
        <is>
          <t>TIDAHOLM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46307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46307</v>
      </c>
      <c r="F309" t="inlineStr">
        <is>
          <t>VÄSTRA GÖTALANDS LÄN</t>
        </is>
      </c>
      <c r="G309" t="inlineStr">
        <is>
          <t>TIDAHOLM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45016</v>
      </c>
      <c r="E310" s="1" t="n">
        <v>46307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46307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44719</v>
      </c>
      <c r="E312" s="1" t="n">
        <v>46307</v>
      </c>
      <c r="F312" t="inlineStr">
        <is>
          <t>VÄSTRA GÖTALANDS LÄN</t>
        </is>
      </c>
      <c r="G312" t="inlineStr">
        <is>
          <t>TIDAHOLM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46131</v>
      </c>
      <c r="E313" s="1" t="n">
        <v>46307</v>
      </c>
      <c r="F313" t="inlineStr">
        <is>
          <t>VÄSTRA GÖTALANDS LÄN</t>
        </is>
      </c>
      <c r="G313" t="inlineStr">
        <is>
          <t>TIDAHOLM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46307</v>
      </c>
      <c r="F314" t="inlineStr">
        <is>
          <t>VÄSTRA GÖTALANDS LÄN</t>
        </is>
      </c>
      <c r="G314" t="inlineStr">
        <is>
          <t>TIDAHOLM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46307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44915</v>
      </c>
      <c r="E316" s="1" t="n">
        <v>46307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46307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44622</v>
      </c>
      <c r="E318" s="1" t="n">
        <v>46307</v>
      </c>
      <c r="F318" t="inlineStr">
        <is>
          <t>VÄSTRA GÖTALANDS LÄN</t>
        </is>
      </c>
      <c r="G318" t="inlineStr">
        <is>
          <t>TIDAHOLM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46307</v>
      </c>
      <c r="F319" t="inlineStr">
        <is>
          <t>VÄSTRA GÖTALANDS LÄN</t>
        </is>
      </c>
      <c r="G319" t="inlineStr">
        <is>
          <t>TIDAHOLM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46021</v>
      </c>
      <c r="E320" s="1" t="n">
        <v>46307</v>
      </c>
      <c r="F320" t="inlineStr">
        <is>
          <t>VÄSTRA GÖTALANDS LÄN</t>
        </is>
      </c>
      <c r="G320" t="inlineStr">
        <is>
          <t>TIDAHOLM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46307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45847</v>
      </c>
      <c r="E322" s="1" t="n">
        <v>46307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46307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46307</v>
      </c>
      <c r="F324" t="inlineStr">
        <is>
          <t>VÄSTRA GÖTALANDS LÄN</t>
        </is>
      </c>
      <c r="G324" t="inlineStr">
        <is>
          <t>TIDAHOLM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45068</v>
      </c>
      <c r="E325" s="1" t="n">
        <v>46307</v>
      </c>
      <c r="F325" t="inlineStr">
        <is>
          <t>VÄSTRA GÖTALANDS LÄN</t>
        </is>
      </c>
      <c r="G325" t="inlineStr">
        <is>
          <t>TIDAHOLM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46307</v>
      </c>
      <c r="F326" t="inlineStr">
        <is>
          <t>VÄSTRA GÖTALANDS LÄN</t>
        </is>
      </c>
      <c r="G326" t="inlineStr">
        <is>
          <t>TIDAHOLM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45240</v>
      </c>
      <c r="E327" s="1" t="n">
        <v>46307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46307</v>
      </c>
      <c r="F328" t="inlineStr">
        <is>
          <t>VÄSTRA GÖTALANDS LÄN</t>
        </is>
      </c>
      <c r="G328" t="inlineStr">
        <is>
          <t>TIDAHOLM</t>
        </is>
      </c>
      <c r="I328" t="n">
        <v>23.4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45526</v>
      </c>
      <c r="E329" s="1" t="n">
        <v>46307</v>
      </c>
      <c r="F329" t="inlineStr">
        <is>
          <t>VÄSTRA GÖTALANDS LÄN</t>
        </is>
      </c>
      <c r="G329" t="inlineStr">
        <is>
          <t>TIDAHOLM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45784</v>
      </c>
      <c r="E330" s="1" t="n">
        <v>46307</v>
      </c>
      <c r="F330" t="inlineStr">
        <is>
          <t>VÄSTRA GÖTALANDS LÄN</t>
        </is>
      </c>
      <c r="G330" t="inlineStr">
        <is>
          <t>TIDAHOLM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46307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46307</v>
      </c>
      <c r="F332" t="inlineStr">
        <is>
          <t>VÄSTRA GÖTALANDS LÄN</t>
        </is>
      </c>
      <c r="G332" t="inlineStr">
        <is>
          <t>TIDAHOLM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46307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46307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46307</v>
      </c>
      <c r="F335" t="inlineStr">
        <is>
          <t>VÄSTRA GÖTALANDS LÄN</t>
        </is>
      </c>
      <c r="G335" t="inlineStr">
        <is>
          <t>TIDAHOLM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45120</v>
      </c>
      <c r="E336" s="1" t="n">
        <v>46307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45779</v>
      </c>
      <c r="E337" s="1" t="n">
        <v>46307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46307</v>
      </c>
      <c r="F338" t="inlineStr">
        <is>
          <t>VÄSTRA GÖTALANDS LÄN</t>
        </is>
      </c>
      <c r="G338" t="inlineStr">
        <is>
          <t>TIDAHOLM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46307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Allmännings- och besparingsskogar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46307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Kommuner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46307</v>
      </c>
      <c r="F341" t="inlineStr">
        <is>
          <t>VÄSTRA GÖTALANDS LÄN</t>
        </is>
      </c>
      <c r="G341" t="inlineStr">
        <is>
          <t>TIDAHOLM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46307</v>
      </c>
      <c r="F342" t="inlineStr">
        <is>
          <t>VÄSTRA GÖTALANDS LÄN</t>
        </is>
      </c>
      <c r="G342" t="inlineStr">
        <is>
          <t>TIDAHOLM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46307</v>
      </c>
      <c r="F343" t="inlineStr">
        <is>
          <t>VÄSTRA GÖTALANDS LÄN</t>
        </is>
      </c>
      <c r="G343" t="inlineStr">
        <is>
          <t>TIDAHOLM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46307</v>
      </c>
      <c r="F344" t="inlineStr">
        <is>
          <t>VÄSTRA GÖTALANDS LÄN</t>
        </is>
      </c>
      <c r="G344" t="inlineStr">
        <is>
          <t>TIDAHOLM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11291-2026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46080</v>
      </c>
      <c r="E345" s="1" t="n">
        <v>46307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11296-2026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46080</v>
      </c>
      <c r="E346" s="1" t="n">
        <v>46307</v>
      </c>
      <c r="F346" t="inlineStr">
        <is>
          <t>VÄSTRA GÖTALANDS LÄN</t>
        </is>
      </c>
      <c r="G346" t="inlineStr">
        <is>
          <t>TIDAHOLM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46307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46307</v>
      </c>
      <c r="F348" t="inlineStr">
        <is>
          <t>VÄSTRA GÖTALANDS LÄN</t>
        </is>
      </c>
      <c r="G348" t="inlineStr">
        <is>
          <t>TIDAHOLM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46307</v>
      </c>
      <c r="F349" t="inlineStr">
        <is>
          <t>VÄSTRA GÖTALANDS LÄN</t>
        </is>
      </c>
      <c r="G349" t="inlineStr">
        <is>
          <t>TIDAHOLM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45392</v>
      </c>
      <c r="E350" s="1" t="n">
        <v>46307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45814</v>
      </c>
      <c r="E351" s="1" t="n">
        <v>46307</v>
      </c>
      <c r="F351" t="inlineStr">
        <is>
          <t>VÄSTRA GÖTALANDS LÄN</t>
        </is>
      </c>
      <c r="G351" t="inlineStr">
        <is>
          <t>TIDAHOLM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46307</v>
      </c>
      <c r="F352" t="inlineStr">
        <is>
          <t>VÄSTRA GÖTALANDS LÄN</t>
        </is>
      </c>
      <c r="G352" t="inlineStr">
        <is>
          <t>TIDAHOLM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45628</v>
      </c>
      <c r="E353" s="1" t="n">
        <v>46307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46307</v>
      </c>
      <c r="F354" t="inlineStr">
        <is>
          <t>VÄSTRA GÖTALANDS LÄN</t>
        </is>
      </c>
      <c r="G354" t="inlineStr">
        <is>
          <t>TIDAHOLM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46307</v>
      </c>
      <c r="F355" t="inlineStr">
        <is>
          <t>VÄSTRA GÖTALANDS LÄN</t>
        </is>
      </c>
      <c r="G355" t="inlineStr">
        <is>
          <t>TIDAHOLM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46307</v>
      </c>
      <c r="F356" t="inlineStr">
        <is>
          <t>VÄSTRA GÖTALANDS LÄN</t>
        </is>
      </c>
      <c r="G356" t="inlineStr">
        <is>
          <t>TIDAHOLM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46307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46307</v>
      </c>
      <c r="F358" t="inlineStr">
        <is>
          <t>VÄSTRA GÖTALANDS LÄN</t>
        </is>
      </c>
      <c r="G358" t="inlineStr">
        <is>
          <t>TIDAHOLM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46307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46307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Kyrkan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46307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46307</v>
      </c>
      <c r="F362" t="inlineStr">
        <is>
          <t>VÄSTRA GÖTALANDS LÄN</t>
        </is>
      </c>
      <c r="G362" t="inlineStr">
        <is>
          <t>TIDAHOLM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46307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44881</v>
      </c>
      <c r="E364" s="1" t="n">
        <v>46307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46307</v>
      </c>
      <c r="F365" t="inlineStr">
        <is>
          <t>VÄSTRA GÖTALANDS LÄN</t>
        </is>
      </c>
      <c r="G365" t="inlineStr">
        <is>
          <t>TIDAHOLM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46307</v>
      </c>
      <c r="F366" t="inlineStr">
        <is>
          <t>VÄSTRA GÖTALANDS LÄN</t>
        </is>
      </c>
      <c r="G366" t="inlineStr">
        <is>
          <t>TIDAHOLM</t>
        </is>
      </c>
      <c r="I366" t="n">
        <v>16.2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46307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46307</v>
      </c>
      <c r="F368" t="inlineStr">
        <is>
          <t>VÄSTRA GÖTALANDS LÄN</t>
        </is>
      </c>
      <c r="G368" t="inlineStr">
        <is>
          <t>TIDAHOLM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46307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46307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46279</v>
      </c>
      <c r="E371" s="1" t="n">
        <v>46307</v>
      </c>
      <c r="F371" t="inlineStr">
        <is>
          <t>VÄSTRA GÖTALANDS LÄN</t>
        </is>
      </c>
      <c r="G371" t="inlineStr">
        <is>
          <t>TIDAHOLM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46307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46307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46307</v>
      </c>
      <c r="F374" t="inlineStr">
        <is>
          <t>VÄSTRA GÖTALANDS LÄN</t>
        </is>
      </c>
      <c r="G374" t="inlineStr">
        <is>
          <t>TIDAHOLM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46307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46307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46307</v>
      </c>
      <c r="F377" t="inlineStr">
        <is>
          <t>VÄSTRA GÖTALANDS LÄN</t>
        </is>
      </c>
      <c r="G377" t="inlineStr">
        <is>
          <t>TIDAHOLM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46307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46290</v>
      </c>
      <c r="E379" s="1" t="n">
        <v>46307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46307</v>
      </c>
      <c r="F380" t="inlineStr">
        <is>
          <t>VÄSTRA GÖTALANDS LÄN</t>
        </is>
      </c>
      <c r="G380" t="inlineStr">
        <is>
          <t>TIDAHOLM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46307</v>
      </c>
      <c r="F381" t="inlineStr">
        <is>
          <t>VÄSTRA GÖTALANDS LÄN</t>
        </is>
      </c>
      <c r="G381" t="inlineStr">
        <is>
          <t>TIDAHOLM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46307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46307</v>
      </c>
      <c r="F383" t="inlineStr">
        <is>
          <t>VÄSTRA GÖTALANDS LÄN</t>
        </is>
      </c>
      <c r="G383" t="inlineStr">
        <is>
          <t>TIDAHOLM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46307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46307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46303</v>
      </c>
      <c r="E386" s="1" t="n">
        <v>46307</v>
      </c>
      <c r="F386" t="inlineStr">
        <is>
          <t>VÄSTRA GÖTALANDS LÄN</t>
        </is>
      </c>
      <c r="G386" t="inlineStr">
        <is>
          <t>TIDAHOLM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46307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46307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46307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2026-10-12T02:00:22Z</dcterms:created>
  <dcterms:modified xmlns:dcterms="http://purl.org/dc/terms/" xmlns:xsi="http://www.w3.org/2001/XMLSchema-instance" xsi:type="dcterms:W3CDTF">2026-10-12T02:00:22Z</dcterms:modified>
</cp:coreProperties>
</file>