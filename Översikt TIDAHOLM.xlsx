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46248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46248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46248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46248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46248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46248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46248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46248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46248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64930-2021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46248</v>
      </c>
      <c r="F12" t="inlineStr">
        <is>
          <t>VÄSTRA GÖTALANDS LÄN</t>
        </is>
      </c>
      <c r="G12" t="inlineStr">
        <is>
          <t>TIDAHOLM</t>
        </is>
      </c>
      <c r="I12" t="n">
        <v>3.7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Sexfläckig bastardsvärmare</t>
        </is>
      </c>
      <c r="W12">
        <f>HYPERLINK("https://klasma.github.io/Logging_1498/artfynd/A 64930-2021 artfynd.xlsx", "A 64930-2021")</f>
        <v/>
      </c>
      <c r="X12">
        <f>HYPERLINK("https://klasma.github.io/Logging_1498/kartor/A 64930-2021 karta.png", "A 64930-2021")</f>
        <v/>
      </c>
      <c r="Y12">
        <f>HYPERLINK("https://klasma.github.io/Logging_1498/kartor_geotiff/A 64930-2021 georefererad karta.tif", "A 64930-2021")</f>
        <v/>
      </c>
      <c r="AA12">
        <f>HYPERLINK("https://klasma.github.io/Logging_1498/klagomål/A 64930-2021 FSC-klagomål.docx", "A 64930-2021")</f>
        <v/>
      </c>
      <c r="AB12">
        <f>HYPERLINK("https://klasma.github.io/Logging_1498/klagomålsmail/A 64930-2021 FSC-klagomål mail.docx", "A 64930-2021")</f>
        <v/>
      </c>
      <c r="AC12">
        <f>HYPERLINK("https://klasma.github.io/Logging_1498/tillsyn/A 64930-2021 tillsynsbegäran.docx", "A 64930-2021")</f>
        <v/>
      </c>
      <c r="AD12">
        <f>HYPERLINK("https://klasma.github.io/Logging_1498/tillsynsmail/A 64930-2021 tillsynsbegäran mail.docx", "A 64930-2021")</f>
        <v/>
      </c>
    </row>
    <row r="13" ht="15" customHeight="1">
      <c r="A13" t="inlineStr">
        <is>
          <t>A 64926-2021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46248</v>
      </c>
      <c r="F13" t="inlineStr">
        <is>
          <t>VÄSTRA GÖTALANDS LÄN</t>
        </is>
      </c>
      <c r="G13" t="inlineStr">
        <is>
          <t>TIDAHOLM</t>
        </is>
      </c>
      <c r="I13" t="n">
        <v>1.7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Gullpudra</t>
        </is>
      </c>
      <c r="W13">
        <f>HYPERLINK("https://klasma.github.io/Logging_1498/artfynd/A 64926-2021 artfynd.xlsx", "A 64926-2021")</f>
        <v/>
      </c>
      <c r="X13">
        <f>HYPERLINK("https://klasma.github.io/Logging_1498/kartor/A 64926-2021 karta.png", "A 64926-2021")</f>
        <v/>
      </c>
      <c r="Y13">
        <f>HYPERLINK("https://klasma.github.io/Logging_1498/kartor_geotiff/A 64926-2021 georefererad karta.tif", "A 64926-2021")</f>
        <v/>
      </c>
      <c r="AA13">
        <f>HYPERLINK("https://klasma.github.io/Logging_1498/klagomål/A 64926-2021 FSC-klagomål.docx", "A 64926-2021")</f>
        <v/>
      </c>
      <c r="AB13">
        <f>HYPERLINK("https://klasma.github.io/Logging_1498/klagomålsmail/A 64926-2021 FSC-klagomål mail.docx", "A 64926-2021")</f>
        <v/>
      </c>
      <c r="AC13">
        <f>HYPERLINK("https://klasma.github.io/Logging_1498/tillsyn/A 64926-2021 tillsynsbegäran.docx", "A 64926-2021")</f>
        <v/>
      </c>
      <c r="AD13">
        <f>HYPERLINK("https://klasma.github.io/Logging_1498/tillsynsmail/A 64926-2021 tillsynsbegäran mail.docx", "A 64926-2021")</f>
        <v/>
      </c>
    </row>
    <row r="14" ht="15" customHeight="1">
      <c r="A14" t="inlineStr">
        <is>
          <t>A 50293-2022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44865</v>
      </c>
      <c r="E14" s="1" t="n">
        <v>46248</v>
      </c>
      <c r="F14" t="inlineStr">
        <is>
          <t>VÄSTRA GÖTALANDS LÄN</t>
        </is>
      </c>
      <c r="G14" t="inlineStr">
        <is>
          <t>TIDAHOLM</t>
        </is>
      </c>
      <c r="I14" t="n">
        <v>3.5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Kambräken</t>
        </is>
      </c>
      <c r="W14">
        <f>HYPERLINK("https://klasma.github.io/Logging_1498/artfynd/A 50293-2022 artfynd.xlsx", "A 50293-2022")</f>
        <v/>
      </c>
      <c r="X14">
        <f>HYPERLINK("https://klasma.github.io/Logging_1498/kartor/A 50293-2022 karta.png", "A 50293-2022")</f>
        <v/>
      </c>
      <c r="Y14">
        <f>HYPERLINK("https://klasma.github.io/Logging_1498/kartor_geotiff/A 50293-2022 georefererad karta.tif", "A 50293-2022")</f>
        <v/>
      </c>
      <c r="AA14">
        <f>HYPERLINK("https://klasma.github.io/Logging_1498/klagomål/A 50293-2022 FSC-klagomål.docx", "A 50293-2022")</f>
        <v/>
      </c>
      <c r="AB14">
        <f>HYPERLINK("https://klasma.github.io/Logging_1498/klagomålsmail/A 50293-2022 FSC-klagomål mail.docx", "A 50293-2022")</f>
        <v/>
      </c>
      <c r="AC14">
        <f>HYPERLINK("https://klasma.github.io/Logging_1498/tillsyn/A 50293-2022 tillsynsbegäran.docx", "A 50293-2022")</f>
        <v/>
      </c>
      <c r="AD14">
        <f>HYPERLINK("https://klasma.github.io/Logging_1498/tillsynsmail/A 50293-2022 tillsynsbegäran mail.docx", "A 50293-2022")</f>
        <v/>
      </c>
    </row>
    <row r="15" ht="15" customHeight="1">
      <c r="A15" t="inlineStr">
        <is>
          <t>A 57539-2023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46248</v>
      </c>
      <c r="F15" t="inlineStr">
        <is>
          <t>VÄSTRA GÖTALANDS LÄN</t>
        </is>
      </c>
      <c r="G15" t="inlineStr">
        <is>
          <t>TIDAHOLM</t>
        </is>
      </c>
      <c r="H15" t="inlineStr">
        <is>
          <t>Kyrkan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HYPERLINK("https://klasma.github.io/Logging_1498/artfynd/A 57539-2023 artfynd.xlsx", "A 57539-2023")</f>
        <v/>
      </c>
      <c r="X15">
        <f>HYPERLINK("https://klasma.github.io/Logging_1498/kartor/A 57539-2023 karta.png", "A 57539-2023")</f>
        <v/>
      </c>
      <c r="Y15">
        <f>HYPERLINK("https://klasma.github.io/Logging_1498/kartor_geotiff/A 57539-2023 georefererad karta.tif", "A 57539-2023")</f>
        <v/>
      </c>
      <c r="AA15">
        <f>HYPERLINK("https://klasma.github.io/Logging_1498/klagomål/A 57539-2023 FSC-klagomål.docx", "A 57539-2023")</f>
        <v/>
      </c>
      <c r="AB15">
        <f>HYPERLINK("https://klasma.github.io/Logging_1498/klagomålsmail/A 57539-2023 FSC-klagomål mail.docx", "A 57539-2023")</f>
        <v/>
      </c>
      <c r="AC15">
        <f>HYPERLINK("https://klasma.github.io/Logging_1498/tillsyn/A 57539-2023 tillsynsbegäran.docx", "A 57539-2023")</f>
        <v/>
      </c>
      <c r="AD15">
        <f>HYPERLINK("https://klasma.github.io/Logging_1498/tillsynsmail/A 57539-2023 tillsynsbegäran mail.docx", "A 57539-2023")</f>
        <v/>
      </c>
    </row>
    <row r="16" ht="15" customHeight="1">
      <c r="A16" t="inlineStr">
        <is>
          <t>A 54133-2023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45232</v>
      </c>
      <c r="E16" s="1" t="n">
        <v>46248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9.300000000000001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Gammelgransskål</t>
        </is>
      </c>
      <c r="W16">
        <f>HYPERLINK("https://klasma.github.io/Logging_1498/artfynd/A 54133-2023 artfynd.xlsx", "A 54133-2023")</f>
        <v/>
      </c>
      <c r="X16">
        <f>HYPERLINK("https://klasma.github.io/Logging_1498/kartor/A 54133-2023 karta.png", "A 54133-2023")</f>
        <v/>
      </c>
      <c r="Y16">
        <f>HYPERLINK("https://klasma.github.io/Logging_1498/kartor_geotiff/A 54133-2023 georefererad karta.tif", "A 54133-2023")</f>
        <v/>
      </c>
      <c r="AA16">
        <f>HYPERLINK("https://klasma.github.io/Logging_1498/klagomål/A 54133-2023 FSC-klagomål.docx", "A 54133-2023")</f>
        <v/>
      </c>
      <c r="AB16">
        <f>HYPERLINK("https://klasma.github.io/Logging_1498/klagomålsmail/A 54133-2023 FSC-klagomål mail.docx", "A 54133-2023")</f>
        <v/>
      </c>
      <c r="AC16">
        <f>HYPERLINK("https://klasma.github.io/Logging_1498/tillsyn/A 54133-2023 tillsynsbegäran.docx", "A 54133-2023")</f>
        <v/>
      </c>
      <c r="AD16">
        <f>HYPERLINK("https://klasma.github.io/Logging_1498/tillsynsmail/A 54133-2023 tillsynsbegäran mail.docx", "A 54133-2023")</f>
        <v/>
      </c>
    </row>
    <row r="17" ht="15" customHeight="1">
      <c r="A17" t="inlineStr">
        <is>
          <t>A 4052-2025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46248</v>
      </c>
      <c r="F17" t="inlineStr">
        <is>
          <t>VÄSTRA GÖTALANDS LÄN</t>
        </is>
      </c>
      <c r="G17" t="inlineStr">
        <is>
          <t>TIDAHOLM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HYPERLINK("https://klasma.github.io/Logging_1498/artfynd/A 4052-2025 artfynd.xlsx", "A 4052-2025")</f>
        <v/>
      </c>
      <c r="X17">
        <f>HYPERLINK("https://klasma.github.io/Logging_1498/kartor/A 4052-2025 karta.png", "A 4052-2025")</f>
        <v/>
      </c>
      <c r="Y17">
        <f>HYPERLINK("https://klasma.github.io/Logging_1498/kartor_geotiff/A 4052-2025 georefererad karta.tif", "A 4052-2025")</f>
        <v/>
      </c>
      <c r="AA17">
        <f>HYPERLINK("https://klasma.github.io/Logging_1498/klagomål/A 4052-2025 FSC-klagomål.docx", "A 4052-2025")</f>
        <v/>
      </c>
      <c r="AB17">
        <f>HYPERLINK("https://klasma.github.io/Logging_1498/klagomålsmail/A 4052-2025 FSC-klagomål mail.docx", "A 4052-2025")</f>
        <v/>
      </c>
      <c r="AC17">
        <f>HYPERLINK("https://klasma.github.io/Logging_1498/tillsyn/A 4052-2025 tillsynsbegäran.docx", "A 4052-2025")</f>
        <v/>
      </c>
      <c r="AD17">
        <f>HYPERLINK("https://klasma.github.io/Logging_1498/tillsynsmail/A 4052-2025 tillsynsbegäran mail.docx", "A 4052-2025")</f>
        <v/>
      </c>
    </row>
    <row r="18" ht="15" customHeight="1">
      <c r="A18" t="inlineStr">
        <is>
          <t>A 12332-2022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44637</v>
      </c>
      <c r="E18" s="1" t="n">
        <v>46248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Kommuner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HYPERLINK("https://klasma.github.io/Logging_1498/artfynd/A 12332-2022 artfynd.xlsx", "A 12332-2022")</f>
        <v/>
      </c>
      <c r="X18">
        <f>HYPERLINK("https://klasma.github.io/Logging_1498/kartor/A 12332-2022 karta.png", "A 12332-2022")</f>
        <v/>
      </c>
      <c r="Y18">
        <f>HYPERLINK("https://klasma.github.io/Logging_1498/kartor_geotiff/A 12332-2022 georefererad karta.tif", "A 12332-2022")</f>
        <v/>
      </c>
      <c r="AA18">
        <f>HYPERLINK("https://klasma.github.io/Logging_1498/klagomål/A 12332-2022 FSC-klagomål.docx", "A 12332-2022")</f>
        <v/>
      </c>
      <c r="AB18">
        <f>HYPERLINK("https://klasma.github.io/Logging_1498/klagomålsmail/A 12332-2022 FSC-klagomål mail.docx", "A 12332-2022")</f>
        <v/>
      </c>
      <c r="AC18">
        <f>HYPERLINK("https://klasma.github.io/Logging_1498/tillsyn/A 12332-2022 tillsynsbegäran.docx", "A 12332-2022")</f>
        <v/>
      </c>
      <c r="AD18">
        <f>HYPERLINK("https://klasma.github.io/Logging_1498/tillsynsmail/A 12332-2022 tillsynsbegäran mail.docx", "A 12332-2022")</f>
        <v/>
      </c>
    </row>
    <row r="19" ht="15" customHeight="1">
      <c r="A19" t="inlineStr">
        <is>
          <t>A 3976-2024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46248</v>
      </c>
      <c r="F19" t="inlineStr">
        <is>
          <t>VÄSTRA GÖTALANDS LÄN</t>
        </is>
      </c>
      <c r="G19" t="inlineStr">
        <is>
          <t>TIDAHOLM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Brunlångöra</t>
        </is>
      </c>
      <c r="W19">
        <f>HYPERLINK("https://klasma.github.io/Logging_1498/artfynd/A 3976-2024 artfynd.xlsx", "A 3976-2024")</f>
        <v/>
      </c>
      <c r="X19">
        <f>HYPERLINK("https://klasma.github.io/Logging_1498/kartor/A 3976-2024 karta.png", "A 3976-2024")</f>
        <v/>
      </c>
      <c r="Y19">
        <f>HYPERLINK("https://klasma.github.io/Logging_1498/kartor_geotiff/A 3976-2024 georefererad karta.tif", "A 3976-2024")</f>
        <v/>
      </c>
      <c r="AA19">
        <f>HYPERLINK("https://klasma.github.io/Logging_1498/klagomål/A 3976-2024 FSC-klagomål.docx", "A 3976-2024")</f>
        <v/>
      </c>
      <c r="AB19">
        <f>HYPERLINK("https://klasma.github.io/Logging_1498/klagomålsmail/A 3976-2024 FSC-klagomål mail.docx", "A 3976-2024")</f>
        <v/>
      </c>
      <c r="AC19">
        <f>HYPERLINK("https://klasma.github.io/Logging_1498/tillsyn/A 3976-2024 tillsynsbegäran.docx", "A 3976-2024")</f>
        <v/>
      </c>
      <c r="AD19">
        <f>HYPERLINK("https://klasma.github.io/Logging_1498/tillsynsmail/A 3976-2024 tillsynsbegäran mail.docx", "A 3976-2024")</f>
        <v/>
      </c>
    </row>
    <row r="20" ht="15" customHeight="1">
      <c r="A20" t="inlineStr">
        <is>
          <t>A 41346-2025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45899</v>
      </c>
      <c r="E20" s="1" t="n">
        <v>46248</v>
      </c>
      <c r="F20" t="inlineStr">
        <is>
          <t>VÄSTRA GÖTALANDS LÄN</t>
        </is>
      </c>
      <c r="G20" t="inlineStr">
        <is>
          <t>TIDAHOLM</t>
        </is>
      </c>
      <c r="I20" t="n">
        <v>2.7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Guldlockmossa</t>
        </is>
      </c>
      <c r="W20">
        <f>HYPERLINK("https://klasma.github.io/Logging_1498/artfynd/A 41346-2025 artfynd.xlsx", "A 41346-2025")</f>
        <v/>
      </c>
      <c r="X20">
        <f>HYPERLINK("https://klasma.github.io/Logging_1498/kartor/A 41346-2025 karta.png", "A 41346-2025")</f>
        <v/>
      </c>
      <c r="Y20">
        <f>HYPERLINK("https://klasma.github.io/Logging_1498/kartor_geotiff/A 41346-2025 georefererad karta.tif", "A 41346-2025")</f>
        <v/>
      </c>
      <c r="AA20">
        <f>HYPERLINK("https://klasma.github.io/Logging_1498/klagomål/A 41346-2025 FSC-klagomål.docx", "A 41346-2025")</f>
        <v/>
      </c>
      <c r="AB20">
        <f>HYPERLINK("https://klasma.github.io/Logging_1498/klagomålsmail/A 41346-2025 FSC-klagomål mail.docx", "A 41346-2025")</f>
        <v/>
      </c>
      <c r="AC20">
        <f>HYPERLINK("https://klasma.github.io/Logging_1498/tillsyn/A 41346-2025 tillsynsbegäran.docx", "A 41346-2025")</f>
        <v/>
      </c>
      <c r="AD20">
        <f>HYPERLINK("https://klasma.github.io/Logging_1498/tillsynsmail/A 41346-2025 tillsynsbegäran mail.docx", "A 41346-2025")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46248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46248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46248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S 974-2022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44607</v>
      </c>
      <c r="E24" s="1" t="n">
        <v>46248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Sveaskog</t>
        </is>
      </c>
      <c r="I24" t="n">
        <v>172.2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HYPERLINK("https://klasma.github.io/Logging_1498/artfynd/S 974-2022 artfynd.xlsx", "S 974-2022")</f>
        <v/>
      </c>
      <c r="X24">
        <f>HYPERLINK("https://klasma.github.io/Logging_1498/kartor/S 974-2022 karta.png", "S 974-2022")</f>
        <v/>
      </c>
      <c r="Y24">
        <f>HYPERLINK("https://klasma.github.io/Logging_1498/kartor_geotiff/S 974-2022 georefererad karta.tif", "S 974-2022")</f>
        <v/>
      </c>
      <c r="AA24">
        <f>HYPERLINK("https://klasma.github.io/Logging_1498/klagomål/S 974-2022 FSC-klagomål.docx", "S 974-2022")</f>
        <v/>
      </c>
      <c r="AB24">
        <f>HYPERLINK("https://klasma.github.io/Logging_1498/klagomålsmail/S 974-2022 FSC-klagomål mail.docx", "S 974-2022")</f>
        <v/>
      </c>
      <c r="AC24">
        <f>HYPERLINK("https://klasma.github.io/Logging_1498/tillsyn/S 974-2022 tillsynsbegäran.docx", "S 974-2022")</f>
        <v/>
      </c>
      <c r="AD24">
        <f>HYPERLINK("https://klasma.github.io/Logging_1498/tillsynsmail/S 974-2022 tillsynsbegäran mail.docx", "S 974-2022")</f>
        <v/>
      </c>
    </row>
    <row r="25" ht="15" customHeight="1">
      <c r="A25" t="inlineStr">
        <is>
          <t>S 966-2022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46248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94.2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Slåtterfibbla</t>
        </is>
      </c>
      <c r="W25">
        <f>HYPERLINK("https://klasma.github.io/Logging_1498/artfynd/S 966-2022 artfynd.xlsx", "S 966-2022")</f>
        <v/>
      </c>
      <c r="X25">
        <f>HYPERLINK("https://klasma.github.io/Logging_1498/kartor/S 966-2022 karta.png", "S 966-2022")</f>
        <v/>
      </c>
      <c r="Y25">
        <f>HYPERLINK("https://klasma.github.io/Logging_1498/kartor_geotiff/S 966-2022 georefererad karta.tif", "S 966-2022")</f>
        <v/>
      </c>
      <c r="AA25">
        <f>HYPERLINK("https://klasma.github.io/Logging_1498/klagomål/S 966-2022 FSC-klagomål.docx", "S 966-2022")</f>
        <v/>
      </c>
      <c r="AB25">
        <f>HYPERLINK("https://klasma.github.io/Logging_1498/klagomålsmail/S 966-2022 FSC-klagomål mail.docx", "S 966-2022")</f>
        <v/>
      </c>
      <c r="AC25">
        <f>HYPERLINK("https://klasma.github.io/Logging_1498/tillsyn/S 966-2022 tillsynsbegäran.docx", "S 966-2022")</f>
        <v/>
      </c>
      <c r="AD25">
        <f>HYPERLINK("https://klasma.github.io/Logging_1498/tillsynsmail/S 966-2022 tillsynsbegäran mail.docx", "S 966-2022")</f>
        <v/>
      </c>
    </row>
    <row r="26" ht="15" customHeight="1">
      <c r="A26" t="inlineStr">
        <is>
          <t>S 965-2022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46248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195.8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Ryl</t>
        </is>
      </c>
      <c r="W26">
        <f>HYPERLINK("https://klasma.github.io/Logging_1498/artfynd/S 965-2022 artfynd.xlsx", "S 965-2022")</f>
        <v/>
      </c>
      <c r="X26">
        <f>HYPERLINK("https://klasma.github.io/Logging_1498/kartor/S 965-2022 karta.png", "S 965-2022")</f>
        <v/>
      </c>
      <c r="Y26">
        <f>HYPERLINK("https://klasma.github.io/Logging_1498/kartor_geotiff/S 965-2022 georefererad karta.tif", "S 965-2022")</f>
        <v/>
      </c>
      <c r="AA26">
        <f>HYPERLINK("https://klasma.github.io/Logging_1498/klagomål/S 965-2022 FSC-klagomål.docx", "S 965-2022")</f>
        <v/>
      </c>
      <c r="AB26">
        <f>HYPERLINK("https://klasma.github.io/Logging_1498/klagomålsmail/S 965-2022 FSC-klagomål mail.docx", "S 965-2022")</f>
        <v/>
      </c>
      <c r="AC26">
        <f>HYPERLINK("https://klasma.github.io/Logging_1498/tillsyn/S 965-2022 tillsynsbegäran.docx", "S 965-2022")</f>
        <v/>
      </c>
      <c r="AD26">
        <f>HYPERLINK("https://klasma.github.io/Logging_1498/tillsynsmail/S 965-2022 tillsynsbegäran mail.docx", "S 965-2022")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46248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46248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46248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46248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46248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46248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46248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46248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46248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46248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46248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46248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46248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46248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46248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46248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46248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46248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46248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46248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43328-2021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44431</v>
      </c>
      <c r="E47" s="1" t="n">
        <v>46248</v>
      </c>
      <c r="F47" t="inlineStr">
        <is>
          <t>VÄSTRA GÖTALANDS LÄN</t>
        </is>
      </c>
      <c r="G47" t="inlineStr">
        <is>
          <t>TIDAHOLM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58009-2021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44456</v>
      </c>
      <c r="E48" s="1" t="n">
        <v>46248</v>
      </c>
      <c r="F48" t="inlineStr">
        <is>
          <t>VÄSTRA GÖTALANDS LÄN</t>
        </is>
      </c>
      <c r="G48" t="inlineStr">
        <is>
          <t>TIDAHOLM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46248</v>
      </c>
      <c r="F49" t="inlineStr">
        <is>
          <t>VÄSTRA GÖTALANDS LÄN</t>
        </is>
      </c>
      <c r="G49" t="inlineStr">
        <is>
          <t>TIDAHOLM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46248</v>
      </c>
      <c r="F50" t="inlineStr">
        <is>
          <t>VÄSTRA GÖTALANDS LÄN</t>
        </is>
      </c>
      <c r="G50" t="inlineStr">
        <is>
          <t>TIDAHOLM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64927-2021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46248</v>
      </c>
      <c r="F51" t="inlineStr">
        <is>
          <t>VÄSTRA GÖTALANDS LÄN</t>
        </is>
      </c>
      <c r="G51" t="inlineStr">
        <is>
          <t>TIDAHOLM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68293-2021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46248</v>
      </c>
      <c r="F52" t="inlineStr">
        <is>
          <t>VÄSTRA GÖTALANDS LÄN</t>
        </is>
      </c>
      <c r="G52" t="inlineStr">
        <is>
          <t>TIDAHOLM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44573</v>
      </c>
      <c r="E53" s="1" t="n">
        <v>46248</v>
      </c>
      <c r="F53" t="inlineStr">
        <is>
          <t>VÄSTRA GÖTALANDS LÄN</t>
        </is>
      </c>
      <c r="G53" t="inlineStr">
        <is>
          <t>TIDAHOLM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44587</v>
      </c>
      <c r="E54" s="1" t="n">
        <v>46248</v>
      </c>
      <c r="F54" t="inlineStr">
        <is>
          <t>VÄSTRA GÖTALANDS LÄN</t>
        </is>
      </c>
      <c r="G54" t="inlineStr">
        <is>
          <t>TIDAHOLM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56095-2022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46248</v>
      </c>
      <c r="F55" t="inlineStr">
        <is>
          <t>VÄSTRA GÖTALANDS LÄN</t>
        </is>
      </c>
      <c r="G55" t="inlineStr">
        <is>
          <t>TIDAHOLM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44703</v>
      </c>
      <c r="E56" s="1" t="n">
        <v>46248</v>
      </c>
      <c r="F56" t="inlineStr">
        <is>
          <t>VÄSTRA GÖTALANDS LÄN</t>
        </is>
      </c>
      <c r="G56" t="inlineStr">
        <is>
          <t>TIDAHOLM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46248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46248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46248</v>
      </c>
      <c r="F59" t="inlineStr">
        <is>
          <t>VÄSTRA GÖTALANDS LÄN</t>
        </is>
      </c>
      <c r="G59" t="inlineStr">
        <is>
          <t>TIDAHOLM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44623</v>
      </c>
      <c r="E60" s="1" t="n">
        <v>46248</v>
      </c>
      <c r="F60" t="inlineStr">
        <is>
          <t>VÄSTRA GÖTALANDS LÄN</t>
        </is>
      </c>
      <c r="G60" t="inlineStr">
        <is>
          <t>TIDAHOLM</t>
        </is>
      </c>
      <c r="I60" t="n">
        <v>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46248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46248</v>
      </c>
      <c r="F62" t="inlineStr">
        <is>
          <t>VÄSTRA GÖTALANDS LÄN</t>
        </is>
      </c>
      <c r="G62" t="inlineStr">
        <is>
          <t>TIDAHOLM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46248</v>
      </c>
      <c r="F63" t="inlineStr">
        <is>
          <t>VÄSTRA GÖTALANDS LÄN</t>
        </is>
      </c>
      <c r="G63" t="inlineStr">
        <is>
          <t>TIDAHOLM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46248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46248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46248</v>
      </c>
      <c r="F66" t="inlineStr">
        <is>
          <t>VÄSTRA GÖTALANDS LÄN</t>
        </is>
      </c>
      <c r="G66" t="inlineStr">
        <is>
          <t>TIDAHOLM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44686</v>
      </c>
      <c r="E67" s="1" t="n">
        <v>46248</v>
      </c>
      <c r="F67" t="inlineStr">
        <is>
          <t>VÄSTRA GÖTALANDS LÄN</t>
        </is>
      </c>
      <c r="G67" t="inlineStr">
        <is>
          <t>TIDAHOLM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46248</v>
      </c>
      <c r="F68" t="inlineStr">
        <is>
          <t>VÄSTRA GÖTALANDS LÄN</t>
        </is>
      </c>
      <c r="G68" t="inlineStr">
        <is>
          <t>TIDAHOLM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46248</v>
      </c>
      <c r="F69" t="inlineStr">
        <is>
          <t>VÄSTRA GÖTALANDS LÄN</t>
        </is>
      </c>
      <c r="G69" t="inlineStr">
        <is>
          <t>TIDAHOLM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46248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46248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46248</v>
      </c>
      <c r="F72" t="inlineStr">
        <is>
          <t>VÄSTRA GÖTALANDS LÄN</t>
        </is>
      </c>
      <c r="G72" t="inlineStr">
        <is>
          <t>TIDAHOLM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46248</v>
      </c>
      <c r="F73" t="inlineStr">
        <is>
          <t>VÄSTRA GÖTALANDS LÄN</t>
        </is>
      </c>
      <c r="G73" t="inlineStr">
        <is>
          <t>TIDAHOLM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45483</v>
      </c>
      <c r="E74" s="1" t="n">
        <v>46248</v>
      </c>
      <c r="F74" t="inlineStr">
        <is>
          <t>VÄSTRA GÖTALANDS LÄN</t>
        </is>
      </c>
      <c r="G74" t="inlineStr">
        <is>
          <t>TIDAHOLM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46248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46248</v>
      </c>
      <c r="F76" t="inlineStr">
        <is>
          <t>VÄSTRA GÖTALANDS LÄN</t>
        </is>
      </c>
      <c r="G76" t="inlineStr">
        <is>
          <t>TIDAHOLM</t>
        </is>
      </c>
      <c r="H76" t="inlineStr">
        <is>
          <t>Kyrkan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46248</v>
      </c>
      <c r="F77" t="inlineStr">
        <is>
          <t>VÄSTRA GÖTALANDS LÄN</t>
        </is>
      </c>
      <c r="G77" t="inlineStr">
        <is>
          <t>TIDAHOLM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46248</v>
      </c>
      <c r="F78" t="inlineStr">
        <is>
          <t>VÄSTRA GÖTALANDS LÄN</t>
        </is>
      </c>
      <c r="G78" t="inlineStr">
        <is>
          <t>TIDAHOLM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46248</v>
      </c>
      <c r="F79" t="inlineStr">
        <is>
          <t>VÄSTRA GÖTALANDS LÄN</t>
        </is>
      </c>
      <c r="G79" t="inlineStr">
        <is>
          <t>TIDAHOLM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73028-2021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46248</v>
      </c>
      <c r="F80" t="inlineStr">
        <is>
          <t>VÄSTRA GÖTALANDS LÄN</t>
        </is>
      </c>
      <c r="G80" t="inlineStr">
        <is>
          <t>TIDAHOLM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46248</v>
      </c>
      <c r="F81" t="inlineStr">
        <is>
          <t>VÄSTRA GÖTALANDS LÄN</t>
        </is>
      </c>
      <c r="G81" t="inlineStr">
        <is>
          <t>TIDAHOLM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46248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46248</v>
      </c>
      <c r="F83" t="inlineStr">
        <is>
          <t>VÄSTRA GÖTALANDS LÄN</t>
        </is>
      </c>
      <c r="G83" t="inlineStr">
        <is>
          <t>TIDAHOLM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46248</v>
      </c>
      <c r="F84" t="inlineStr">
        <is>
          <t>VÄSTRA GÖTALANDS LÄN</t>
        </is>
      </c>
      <c r="G84" t="inlineStr">
        <is>
          <t>TIDAHOLM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46248</v>
      </c>
      <c r="F85" t="inlineStr">
        <is>
          <t>VÄSTRA GÖTALANDS LÄN</t>
        </is>
      </c>
      <c r="G85" t="inlineStr">
        <is>
          <t>TIDAHOLM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46248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45099</v>
      </c>
      <c r="E87" s="1" t="n">
        <v>46248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46248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Kyrkan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46248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72683-2021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44546</v>
      </c>
      <c r="E90" s="1" t="n">
        <v>46248</v>
      </c>
      <c r="F90" t="inlineStr">
        <is>
          <t>VÄSTRA GÖTALANDS LÄN</t>
        </is>
      </c>
      <c r="G90" t="inlineStr">
        <is>
          <t>TIDAHOLM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44945</v>
      </c>
      <c r="E91" s="1" t="n">
        <v>46248</v>
      </c>
      <c r="F91" t="inlineStr">
        <is>
          <t>VÄSTRA GÖTALANDS LÄN</t>
        </is>
      </c>
      <c r="G91" t="inlineStr">
        <is>
          <t>TIDAHOLM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45556</v>
      </c>
      <c r="E92" s="1" t="n">
        <v>46248</v>
      </c>
      <c r="F92" t="inlineStr">
        <is>
          <t>VÄSTRA GÖTALANDS LÄN</t>
        </is>
      </c>
      <c r="G92" t="inlineStr">
        <is>
          <t>TIDAHOLM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46248</v>
      </c>
      <c r="F93" t="inlineStr">
        <is>
          <t>VÄSTRA GÖTALANDS LÄN</t>
        </is>
      </c>
      <c r="G93" t="inlineStr">
        <is>
          <t>TIDAHOLM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46248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46248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46248</v>
      </c>
      <c r="F96" t="inlineStr">
        <is>
          <t>VÄSTRA GÖTALANDS LÄN</t>
        </is>
      </c>
      <c r="G96" t="inlineStr">
        <is>
          <t>TIDAHOLM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45669</v>
      </c>
      <c r="E97" s="1" t="n">
        <v>46248</v>
      </c>
      <c r="F97" t="inlineStr">
        <is>
          <t>VÄSTRA GÖTALANDS LÄN</t>
        </is>
      </c>
      <c r="G97" t="inlineStr">
        <is>
          <t>TIDAHOLM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46248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32591-2022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44783</v>
      </c>
      <c r="E99" s="1" t="n">
        <v>46248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46248</v>
      </c>
      <c r="F100" t="inlineStr">
        <is>
          <t>VÄSTRA GÖTALANDS LÄN</t>
        </is>
      </c>
      <c r="G100" t="inlineStr">
        <is>
          <t>TIDAHOLM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45041</v>
      </c>
      <c r="E101" s="1" t="n">
        <v>46248</v>
      </c>
      <c r="F101" t="inlineStr">
        <is>
          <t>VÄSTRA GÖTALANDS LÄN</t>
        </is>
      </c>
      <c r="G101" t="inlineStr">
        <is>
          <t>TIDAHOLM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45048</v>
      </c>
      <c r="E102" s="1" t="n">
        <v>46248</v>
      </c>
      <c r="F102" t="inlineStr">
        <is>
          <t>VÄSTRA GÖTALANDS LÄN</t>
        </is>
      </c>
      <c r="G102" t="inlineStr">
        <is>
          <t>TIDAHOLM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44911</v>
      </c>
      <c r="E103" s="1" t="n">
        <v>46248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46248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46248</v>
      </c>
      <c r="F105" t="inlineStr">
        <is>
          <t>VÄSTRA GÖTALANDS LÄN</t>
        </is>
      </c>
      <c r="G105" t="inlineStr">
        <is>
          <t>TIDAHOLM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14907-2023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45013</v>
      </c>
      <c r="E106" s="1" t="n">
        <v>46248</v>
      </c>
      <c r="F106" t="inlineStr">
        <is>
          <t>VÄSTRA GÖTALANDS LÄN</t>
        </is>
      </c>
      <c r="G106" t="inlineStr">
        <is>
          <t>TIDAHOLM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54298-2023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46248</v>
      </c>
      <c r="F107" t="inlineStr">
        <is>
          <t>VÄSTRA GÖTALANDS LÄN</t>
        </is>
      </c>
      <c r="G107" t="inlineStr">
        <is>
          <t>TIDAHOLM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46248</v>
      </c>
      <c r="F108" t="inlineStr">
        <is>
          <t>VÄSTRA GÖTALANDS LÄN</t>
        </is>
      </c>
      <c r="G108" t="inlineStr">
        <is>
          <t>TIDAHOLM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45047</v>
      </c>
      <c r="E109" s="1" t="n">
        <v>46248</v>
      </c>
      <c r="F109" t="inlineStr">
        <is>
          <t>VÄSTRA GÖTALANDS LÄN</t>
        </is>
      </c>
      <c r="G109" t="inlineStr">
        <is>
          <t>TIDAHOLM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27822-2023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46248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Kyrkan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45016</v>
      </c>
      <c r="E111" s="1" t="n">
        <v>46248</v>
      </c>
      <c r="F111" t="inlineStr">
        <is>
          <t>VÄSTRA GÖTALANDS LÄN</t>
        </is>
      </c>
      <c r="G111" t="inlineStr">
        <is>
          <t>TIDAHOLM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46248</v>
      </c>
      <c r="F112" t="inlineStr">
        <is>
          <t>VÄSTRA GÖTALANDS LÄN</t>
        </is>
      </c>
      <c r="G112" t="inlineStr">
        <is>
          <t>TIDAHOLM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46248</v>
      </c>
      <c r="F113" t="inlineStr">
        <is>
          <t>VÄSTRA GÖTALANDS LÄN</t>
        </is>
      </c>
      <c r="G113" t="inlineStr">
        <is>
          <t>TIDAHOLM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45469</v>
      </c>
      <c r="E114" s="1" t="n">
        <v>46248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45469</v>
      </c>
      <c r="E115" s="1" t="n">
        <v>46248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45311</v>
      </c>
      <c r="E116" s="1" t="n">
        <v>46248</v>
      </c>
      <c r="F116" t="inlineStr">
        <is>
          <t>VÄSTRA GÖTALANDS LÄN</t>
        </is>
      </c>
      <c r="G116" t="inlineStr">
        <is>
          <t>TIDAHOLM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46248</v>
      </c>
      <c r="F117" t="inlineStr">
        <is>
          <t>VÄSTRA GÖTALANDS LÄN</t>
        </is>
      </c>
      <c r="G117" t="inlineStr">
        <is>
          <t>TIDAHOLM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45481</v>
      </c>
      <c r="E118" s="1" t="n">
        <v>46248</v>
      </c>
      <c r="F118" t="inlineStr">
        <is>
          <t>VÄSTRA GÖTALANDS LÄN</t>
        </is>
      </c>
      <c r="G118" t="inlineStr">
        <is>
          <t>TIDAHOLM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45006</v>
      </c>
      <c r="E119" s="1" t="n">
        <v>46248</v>
      </c>
      <c r="F119" t="inlineStr">
        <is>
          <t>VÄSTRA GÖTALANDS LÄN</t>
        </is>
      </c>
      <c r="G119" t="inlineStr">
        <is>
          <t>TIDAHOLM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46248</v>
      </c>
      <c r="F120" t="inlineStr">
        <is>
          <t>VÄSTRA GÖTALANDS LÄN</t>
        </is>
      </c>
      <c r="G120" t="inlineStr">
        <is>
          <t>TIDAHOLM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46248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46248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46248</v>
      </c>
      <c r="F123" t="inlineStr">
        <is>
          <t>VÄSTRA GÖTALANDS LÄN</t>
        </is>
      </c>
      <c r="G123" t="inlineStr">
        <is>
          <t>TIDAHOLM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44580</v>
      </c>
      <c r="E124" s="1" t="n">
        <v>46248</v>
      </c>
      <c r="F124" t="inlineStr">
        <is>
          <t>VÄSTRA GÖTALANDS LÄN</t>
        </is>
      </c>
      <c r="G124" t="inlineStr">
        <is>
          <t>TIDAHOLM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46248</v>
      </c>
      <c r="F125" t="inlineStr">
        <is>
          <t>VÄSTRA GÖTALANDS LÄN</t>
        </is>
      </c>
      <c r="G125" t="inlineStr">
        <is>
          <t>TIDAHOLM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46248</v>
      </c>
      <c r="F126" t="inlineStr">
        <is>
          <t>VÄSTRA GÖTALANDS LÄN</t>
        </is>
      </c>
      <c r="G126" t="inlineStr">
        <is>
          <t>TIDAHOLM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45576</v>
      </c>
      <c r="E127" s="1" t="n">
        <v>46248</v>
      </c>
      <c r="F127" t="inlineStr">
        <is>
          <t>VÄSTRA GÖTALANDS LÄN</t>
        </is>
      </c>
      <c r="G127" t="inlineStr">
        <is>
          <t>TIDAHOLM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44860</v>
      </c>
      <c r="E128" s="1" t="n">
        <v>46248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44930</v>
      </c>
      <c r="E129" s="1" t="n">
        <v>46248</v>
      </c>
      <c r="F129" t="inlineStr">
        <is>
          <t>VÄSTRA GÖTALANDS LÄN</t>
        </is>
      </c>
      <c r="G129" t="inlineStr">
        <is>
          <t>TIDAHOLM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46248</v>
      </c>
      <c r="F130" t="inlineStr">
        <is>
          <t>VÄSTRA GÖTALANDS LÄN</t>
        </is>
      </c>
      <c r="G130" t="inlineStr">
        <is>
          <t>TIDAHOLM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7917-2023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44973</v>
      </c>
      <c r="E131" s="1" t="n">
        <v>46248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46248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46248</v>
      </c>
      <c r="F133" t="inlineStr">
        <is>
          <t>VÄSTRA GÖTALANDS LÄN</t>
        </is>
      </c>
      <c r="G133" t="inlineStr">
        <is>
          <t>TIDAHOLM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44454</v>
      </c>
      <c r="E134" s="1" t="n">
        <v>46248</v>
      </c>
      <c r="F134" t="inlineStr">
        <is>
          <t>VÄSTRA GÖTALANDS LÄN</t>
        </is>
      </c>
      <c r="G134" t="inlineStr">
        <is>
          <t>TIDAHOLM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46248</v>
      </c>
      <c r="F135" t="inlineStr">
        <is>
          <t>VÄSTRA GÖTALANDS LÄN</t>
        </is>
      </c>
      <c r="G135" t="inlineStr">
        <is>
          <t>TIDAHOLM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44915</v>
      </c>
      <c r="E136" s="1" t="n">
        <v>46248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61362-2022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44915</v>
      </c>
      <c r="E137" s="1" t="n">
        <v>46248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46248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45576</v>
      </c>
      <c r="E139" s="1" t="n">
        <v>46248</v>
      </c>
      <c r="F139" t="inlineStr">
        <is>
          <t>VÄSTRA GÖTALANDS LÄN</t>
        </is>
      </c>
      <c r="G139" t="inlineStr">
        <is>
          <t>TIDAHOLM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46248</v>
      </c>
      <c r="F140" t="inlineStr">
        <is>
          <t>VÄSTRA GÖTALANDS LÄN</t>
        </is>
      </c>
      <c r="G140" t="inlineStr">
        <is>
          <t>TIDAHOLM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60646-2022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44911</v>
      </c>
      <c r="E141" s="1" t="n">
        <v>46248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46248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45335</v>
      </c>
      <c r="E143" s="1" t="n">
        <v>46248</v>
      </c>
      <c r="F143" t="inlineStr">
        <is>
          <t>VÄSTRA GÖTALANDS LÄN</t>
        </is>
      </c>
      <c r="G143" t="inlineStr">
        <is>
          <t>TIDAHOLM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32670-2023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45121</v>
      </c>
      <c r="E144" s="1" t="n">
        <v>46248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46248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Kyrkan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61587-2021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46248</v>
      </c>
      <c r="F146" t="inlineStr">
        <is>
          <t>VÄSTRA GÖTALANDS LÄN</t>
        </is>
      </c>
      <c r="G146" t="inlineStr">
        <is>
          <t>TIDAHOLM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55780-2021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46248</v>
      </c>
      <c r="F147" t="inlineStr">
        <is>
          <t>VÄSTRA GÖTALANDS LÄN</t>
        </is>
      </c>
      <c r="G147" t="inlineStr">
        <is>
          <t>TIDAHOLM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46248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46248</v>
      </c>
      <c r="F149" t="inlineStr">
        <is>
          <t>VÄSTRA GÖTALANDS LÄN</t>
        </is>
      </c>
      <c r="G149" t="inlineStr">
        <is>
          <t>TIDAHOLM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57958-2022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44900</v>
      </c>
      <c r="E150" s="1" t="n">
        <v>46248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44972</v>
      </c>
      <c r="E151" s="1" t="n">
        <v>46248</v>
      </c>
      <c r="F151" t="inlineStr">
        <is>
          <t>VÄSTRA GÖTALANDS LÄN</t>
        </is>
      </c>
      <c r="G151" t="inlineStr">
        <is>
          <t>TIDAHOLM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44719</v>
      </c>
      <c r="E152" s="1" t="n">
        <v>46248</v>
      </c>
      <c r="F152" t="inlineStr">
        <is>
          <t>VÄSTRA GÖTALANDS LÄN</t>
        </is>
      </c>
      <c r="G152" t="inlineStr">
        <is>
          <t>TIDAHOLM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45709</v>
      </c>
      <c r="E153" s="1" t="n">
        <v>46248</v>
      </c>
      <c r="F153" t="inlineStr">
        <is>
          <t>VÄSTRA GÖTALANDS LÄN</t>
        </is>
      </c>
      <c r="G153" t="inlineStr">
        <is>
          <t>TIDAHOLM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46248</v>
      </c>
      <c r="F154" t="inlineStr">
        <is>
          <t>VÄSTRA GÖTALANDS LÄN</t>
        </is>
      </c>
      <c r="G154" t="inlineStr">
        <is>
          <t>TIDAHOLM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46248</v>
      </c>
      <c r="F155" t="inlineStr">
        <is>
          <t>VÄSTRA GÖTALANDS LÄN</t>
        </is>
      </c>
      <c r="G155" t="inlineStr">
        <is>
          <t>TIDAHOLM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44636</v>
      </c>
      <c r="E156" s="1" t="n">
        <v>46248</v>
      </c>
      <c r="F156" t="inlineStr">
        <is>
          <t>VÄSTRA GÖTALANDS LÄN</t>
        </is>
      </c>
      <c r="G156" t="inlineStr">
        <is>
          <t>TIDAHOLM</t>
        </is>
      </c>
      <c r="I156" t="n">
        <v>18.8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45276-2024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45576</v>
      </c>
      <c r="E157" s="1" t="n">
        <v>46248</v>
      </c>
      <c r="F157" t="inlineStr">
        <is>
          <t>VÄSTRA GÖTALANDS LÄN</t>
        </is>
      </c>
      <c r="G157" t="inlineStr">
        <is>
          <t>TIDAHOLM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44766</v>
      </c>
      <c r="E158" s="1" t="n">
        <v>46248</v>
      </c>
      <c r="F158" t="inlineStr">
        <is>
          <t>VÄSTRA GÖTALANDS LÄN</t>
        </is>
      </c>
      <c r="G158" t="inlineStr">
        <is>
          <t>TIDAHOLM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46248</v>
      </c>
      <c r="F159" t="inlineStr">
        <is>
          <t>VÄSTRA GÖTALANDS LÄN</t>
        </is>
      </c>
      <c r="G159" t="inlineStr">
        <is>
          <t>TIDAHOLM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46248</v>
      </c>
      <c r="F160" t="inlineStr">
        <is>
          <t>VÄSTRA GÖTALANDS LÄN</t>
        </is>
      </c>
      <c r="G160" t="inlineStr">
        <is>
          <t>TIDAHOLM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49155-2024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46248</v>
      </c>
      <c r="F161" t="inlineStr">
        <is>
          <t>VÄSTRA GÖTALANDS LÄN</t>
        </is>
      </c>
      <c r="G161" t="inlineStr">
        <is>
          <t>TIDAHOLM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46248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44580</v>
      </c>
      <c r="E163" s="1" t="n">
        <v>46248</v>
      </c>
      <c r="F163" t="inlineStr">
        <is>
          <t>VÄSTRA GÖTALANDS LÄN</t>
        </is>
      </c>
      <c r="G163" t="inlineStr">
        <is>
          <t>TIDAHOLM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46248</v>
      </c>
      <c r="F164" t="inlineStr">
        <is>
          <t>VÄSTRA GÖTALANDS LÄN</t>
        </is>
      </c>
      <c r="G164" t="inlineStr">
        <is>
          <t>TIDAHOLM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46248</v>
      </c>
      <c r="F165" t="inlineStr">
        <is>
          <t>VÄSTRA GÖTALANDS LÄN</t>
        </is>
      </c>
      <c r="G165" t="inlineStr">
        <is>
          <t>TIDAHOLM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54122-2023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46248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Kyrkan</t>
        </is>
      </c>
      <c r="I166" t="n">
        <v>22.5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46248</v>
      </c>
      <c r="F167" t="inlineStr">
        <is>
          <t>VÄSTRA GÖTALANDS LÄN</t>
        </is>
      </c>
      <c r="G167" t="inlineStr">
        <is>
          <t>TIDAHOLM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45070</v>
      </c>
      <c r="E168" s="1" t="n">
        <v>46248</v>
      </c>
      <c r="F168" t="inlineStr">
        <is>
          <t>VÄSTRA GÖTALANDS LÄN</t>
        </is>
      </c>
      <c r="G168" t="inlineStr">
        <is>
          <t>TIDAHOLM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46248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35479-2023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45146</v>
      </c>
      <c r="E170" s="1" t="n">
        <v>46248</v>
      </c>
      <c r="F170" t="inlineStr">
        <is>
          <t>VÄSTRA GÖTALANDS LÄN</t>
        </is>
      </c>
      <c r="G170" t="inlineStr">
        <is>
          <t>TIDAHOLM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46248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45266</v>
      </c>
      <c r="E172" s="1" t="n">
        <v>46248</v>
      </c>
      <c r="F172" t="inlineStr">
        <is>
          <t>VÄSTRA GÖTALANDS LÄN</t>
        </is>
      </c>
      <c r="G172" t="inlineStr">
        <is>
          <t>TIDAHOLM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46248</v>
      </c>
      <c r="F173" t="inlineStr">
        <is>
          <t>VÄSTRA GÖTALANDS LÄN</t>
        </is>
      </c>
      <c r="G173" t="inlineStr">
        <is>
          <t>TIDAHOLM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49300-2021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46248</v>
      </c>
      <c r="F174" t="inlineStr">
        <is>
          <t>VÄSTRA GÖTALANDS LÄN</t>
        </is>
      </c>
      <c r="G174" t="inlineStr">
        <is>
          <t>TIDAHOLM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46248</v>
      </c>
      <c r="F175" t="inlineStr">
        <is>
          <t>VÄSTRA GÖTALANDS LÄN</t>
        </is>
      </c>
      <c r="G175" t="inlineStr">
        <is>
          <t>TIDAHOLM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46248</v>
      </c>
      <c r="F176" t="inlineStr">
        <is>
          <t>VÄSTRA GÖTALANDS LÄN</t>
        </is>
      </c>
      <c r="G176" t="inlineStr">
        <is>
          <t>TIDAHOLM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45587</v>
      </c>
      <c r="E177" s="1" t="n">
        <v>46248</v>
      </c>
      <c r="F177" t="inlineStr">
        <is>
          <t>VÄSTRA GÖTALANDS LÄN</t>
        </is>
      </c>
      <c r="G177" t="inlineStr">
        <is>
          <t>TIDAHOLM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46248</v>
      </c>
      <c r="F178" t="inlineStr">
        <is>
          <t>VÄSTRA GÖTALANDS LÄN</t>
        </is>
      </c>
      <c r="G178" t="inlineStr">
        <is>
          <t>TIDAHOLM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45637</v>
      </c>
      <c r="E179" s="1" t="n">
        <v>46248</v>
      </c>
      <c r="F179" t="inlineStr">
        <is>
          <t>VÄSTRA GÖTALANDS LÄN</t>
        </is>
      </c>
      <c r="G179" t="inlineStr">
        <is>
          <t>TIDAHOLM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45007</v>
      </c>
      <c r="E180" s="1" t="n">
        <v>46248</v>
      </c>
      <c r="F180" t="inlineStr">
        <is>
          <t>VÄSTRA GÖTALANDS LÄN</t>
        </is>
      </c>
      <c r="G180" t="inlineStr">
        <is>
          <t>TIDAHOLM</t>
        </is>
      </c>
      <c r="I180" t="n">
        <v>13.8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45068</v>
      </c>
      <c r="E181" s="1" t="n">
        <v>46248</v>
      </c>
      <c r="F181" t="inlineStr">
        <is>
          <t>VÄSTRA GÖTALANDS LÄN</t>
        </is>
      </c>
      <c r="G181" t="inlineStr">
        <is>
          <t>TIDAHOLM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45469</v>
      </c>
      <c r="E182" s="1" t="n">
        <v>46248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45469</v>
      </c>
      <c r="E183" s="1" t="n">
        <v>46248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45469</v>
      </c>
      <c r="E184" s="1" t="n">
        <v>46248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46248</v>
      </c>
      <c r="F185" t="inlineStr">
        <is>
          <t>VÄSTRA GÖTALANDS LÄN</t>
        </is>
      </c>
      <c r="G185" t="inlineStr">
        <is>
          <t>TIDAHOLM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44985</v>
      </c>
      <c r="E186" s="1" t="n">
        <v>46248</v>
      </c>
      <c r="F186" t="inlineStr">
        <is>
          <t>VÄSTRA GÖTALANDS LÄN</t>
        </is>
      </c>
      <c r="G186" t="inlineStr">
        <is>
          <t>TIDAHOLM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45362</v>
      </c>
      <c r="E187" s="1" t="n">
        <v>46248</v>
      </c>
      <c r="F187" t="inlineStr">
        <is>
          <t>VÄSTRA GÖTALANDS LÄN</t>
        </is>
      </c>
      <c r="G187" t="inlineStr">
        <is>
          <t>TIDAHOLM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46248</v>
      </c>
      <c r="F188" t="inlineStr">
        <is>
          <t>VÄSTRA GÖTALANDS LÄN</t>
        </is>
      </c>
      <c r="G188" t="inlineStr">
        <is>
          <t>TIDAHOLM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46248</v>
      </c>
      <c r="F189" t="inlineStr">
        <is>
          <t>VÄSTRA GÖTALANDS LÄN</t>
        </is>
      </c>
      <c r="G189" t="inlineStr">
        <is>
          <t>TIDAHOLM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45204</v>
      </c>
      <c r="E190" s="1" t="n">
        <v>46248</v>
      </c>
      <c r="F190" t="inlineStr">
        <is>
          <t>VÄSTRA GÖTALANDS LÄN</t>
        </is>
      </c>
      <c r="G190" t="inlineStr">
        <is>
          <t>TIDAHOLM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44806</v>
      </c>
      <c r="E191" s="1" t="n">
        <v>46248</v>
      </c>
      <c r="F191" t="inlineStr">
        <is>
          <t>VÄSTRA GÖTALANDS LÄN</t>
        </is>
      </c>
      <c r="G191" t="inlineStr">
        <is>
          <t>TIDAHOLM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49865-2024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45596</v>
      </c>
      <c r="E192" s="1" t="n">
        <v>46248</v>
      </c>
      <c r="F192" t="inlineStr">
        <is>
          <t>VÄSTRA GÖTALANDS LÄN</t>
        </is>
      </c>
      <c r="G192" t="inlineStr">
        <is>
          <t>TIDAHOLM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46248</v>
      </c>
      <c r="F193" t="inlineStr">
        <is>
          <t>VÄSTRA GÖTALANDS LÄN</t>
        </is>
      </c>
      <c r="G193" t="inlineStr">
        <is>
          <t>TIDAHOLM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46248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45534</v>
      </c>
      <c r="E195" s="1" t="n">
        <v>46248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Allmännings- och besparingsskogar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46248</v>
      </c>
      <c r="F196" t="inlineStr">
        <is>
          <t>VÄSTRA GÖTALANDS LÄN</t>
        </is>
      </c>
      <c r="G196" t="inlineStr">
        <is>
          <t>TIDAHOLM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46248</v>
      </c>
      <c r="F197" t="inlineStr">
        <is>
          <t>VÄSTRA GÖTALANDS LÄN</t>
        </is>
      </c>
      <c r="G197" t="inlineStr">
        <is>
          <t>TIDAHOLM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44911</v>
      </c>
      <c r="E198" s="1" t="n">
        <v>46248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46248</v>
      </c>
      <c r="F199" t="inlineStr">
        <is>
          <t>VÄSTRA GÖTALANDS LÄN</t>
        </is>
      </c>
      <c r="G199" t="inlineStr">
        <is>
          <t>TIDAHOLM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46248</v>
      </c>
      <c r="F200" t="inlineStr">
        <is>
          <t>VÄSTRA GÖTALANDS LÄN</t>
        </is>
      </c>
      <c r="G200" t="inlineStr">
        <is>
          <t>TIDAHOLM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46248</v>
      </c>
      <c r="F201" t="inlineStr">
        <is>
          <t>VÄSTRA GÖTALANDS LÄN</t>
        </is>
      </c>
      <c r="G201" t="inlineStr">
        <is>
          <t>TIDAHOLM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45485</v>
      </c>
      <c r="E202" s="1" t="n">
        <v>46248</v>
      </c>
      <c r="F202" t="inlineStr">
        <is>
          <t>VÄSTRA GÖTALANDS LÄN</t>
        </is>
      </c>
      <c r="G202" t="inlineStr">
        <is>
          <t>TIDAHOLM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49050-2021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44453</v>
      </c>
      <c r="E203" s="1" t="n">
        <v>46248</v>
      </c>
      <c r="F203" t="inlineStr">
        <is>
          <t>VÄSTRA GÖTALANDS LÄN</t>
        </is>
      </c>
      <c r="G203" t="inlineStr">
        <is>
          <t>TIDAHOLM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46248</v>
      </c>
      <c r="F204" t="inlineStr">
        <is>
          <t>VÄSTRA GÖTALANDS LÄN</t>
        </is>
      </c>
      <c r="G204" t="inlineStr">
        <is>
          <t>TIDAHOLM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45425</v>
      </c>
      <c r="E205" s="1" t="n">
        <v>46248</v>
      </c>
      <c r="F205" t="inlineStr">
        <is>
          <t>VÄSTRA GÖTALANDS LÄN</t>
        </is>
      </c>
      <c r="G205" t="inlineStr">
        <is>
          <t>TIDAHOLM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19572-2022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44693</v>
      </c>
      <c r="E206" s="1" t="n">
        <v>46248</v>
      </c>
      <c r="F206" t="inlineStr">
        <is>
          <t>VÄSTRA GÖTALANDS LÄN</t>
        </is>
      </c>
      <c r="G206" t="inlineStr">
        <is>
          <t>TIDAHOLM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45672</v>
      </c>
      <c r="E207" s="1" t="n">
        <v>46248</v>
      </c>
      <c r="F207" t="inlineStr">
        <is>
          <t>VÄSTRA GÖTALANDS LÄN</t>
        </is>
      </c>
      <c r="G207" t="inlineStr">
        <is>
          <t>TIDAHOLM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46248</v>
      </c>
      <c r="F208" t="inlineStr">
        <is>
          <t>VÄSTRA GÖTALANDS LÄN</t>
        </is>
      </c>
      <c r="G208" t="inlineStr">
        <is>
          <t>TIDAHOLM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46248</v>
      </c>
      <c r="F209" t="inlineStr">
        <is>
          <t>VÄSTRA GÖTALANDS LÄN</t>
        </is>
      </c>
      <c r="G209" t="inlineStr">
        <is>
          <t>TIDAHOLM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46248</v>
      </c>
      <c r="F210" t="inlineStr">
        <is>
          <t>VÄSTRA GÖTALANDS LÄN</t>
        </is>
      </c>
      <c r="G210" t="inlineStr">
        <is>
          <t>TIDAHOLM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44831</v>
      </c>
      <c r="E211" s="1" t="n">
        <v>46248</v>
      </c>
      <c r="F211" t="inlineStr">
        <is>
          <t>VÄSTRA GÖTALANDS LÄN</t>
        </is>
      </c>
      <c r="G211" t="inlineStr">
        <is>
          <t>TIDAHOLM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46248</v>
      </c>
      <c r="F212" t="inlineStr">
        <is>
          <t>VÄSTRA GÖTALANDS LÄN</t>
        </is>
      </c>
      <c r="G212" t="inlineStr">
        <is>
          <t>TIDAHOLM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44720</v>
      </c>
      <c r="E213" s="1" t="n">
        <v>46248</v>
      </c>
      <c r="F213" t="inlineStr">
        <is>
          <t>VÄSTRA GÖTALANDS LÄN</t>
        </is>
      </c>
      <c r="G213" t="inlineStr">
        <is>
          <t>TIDAHOLM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44910</v>
      </c>
      <c r="E214" s="1" t="n">
        <v>46248</v>
      </c>
      <c r="F214" t="inlineStr">
        <is>
          <t>VÄSTRA GÖTALANDS LÄN</t>
        </is>
      </c>
      <c r="G214" t="inlineStr">
        <is>
          <t>TIDAHOLM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46248</v>
      </c>
      <c r="F215" t="inlineStr">
        <is>
          <t>VÄSTRA GÖTALANDS LÄN</t>
        </is>
      </c>
      <c r="G215" t="inlineStr">
        <is>
          <t>TIDAHOLM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46248</v>
      </c>
      <c r="F216" t="inlineStr">
        <is>
          <t>VÄSTRA GÖTALANDS LÄN</t>
        </is>
      </c>
      <c r="G216" t="inlineStr">
        <is>
          <t>TIDAHOLM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46248</v>
      </c>
      <c r="F217" t="inlineStr">
        <is>
          <t>VÄSTRA GÖTALANDS LÄN</t>
        </is>
      </c>
      <c r="G217" t="inlineStr">
        <is>
          <t>TIDAHOLM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46248</v>
      </c>
      <c r="F218" t="inlineStr">
        <is>
          <t>VÄSTRA GÖTALANDS LÄN</t>
        </is>
      </c>
      <c r="G218" t="inlineStr">
        <is>
          <t>TIDAHOLM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74340-2021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44559</v>
      </c>
      <c r="E219" s="1" t="n">
        <v>46248</v>
      </c>
      <c r="F219" t="inlineStr">
        <is>
          <t>VÄSTRA GÖTALANDS LÄN</t>
        </is>
      </c>
      <c r="G219" t="inlineStr">
        <is>
          <t>TIDAHOLM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46248</v>
      </c>
      <c r="F220" t="inlineStr">
        <is>
          <t>VÄSTRA GÖTALANDS LÄN</t>
        </is>
      </c>
      <c r="G220" t="inlineStr">
        <is>
          <t>TIDAHOLM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46248</v>
      </c>
      <c r="F221" t="inlineStr">
        <is>
          <t>VÄSTRA GÖTALANDS LÄN</t>
        </is>
      </c>
      <c r="G221" t="inlineStr">
        <is>
          <t>TIDAHOLM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49786-2023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45212</v>
      </c>
      <c r="E222" s="1" t="n">
        <v>46248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46248</v>
      </c>
      <c r="F223" t="inlineStr">
        <is>
          <t>VÄSTRA GÖTALANDS LÄN</t>
        </is>
      </c>
      <c r="G223" t="inlineStr">
        <is>
          <t>TIDAHOLM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46248</v>
      </c>
      <c r="F224" t="inlineStr">
        <is>
          <t>VÄSTRA GÖTALANDS LÄN</t>
        </is>
      </c>
      <c r="G224" t="inlineStr">
        <is>
          <t>TIDAHOLM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39015-2024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45548</v>
      </c>
      <c r="E225" s="1" t="n">
        <v>46248</v>
      </c>
      <c r="F225" t="inlineStr">
        <is>
          <t>VÄSTRA GÖTALANDS LÄN</t>
        </is>
      </c>
      <c r="G225" t="inlineStr">
        <is>
          <t>TIDAHOLM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44456-2023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45183</v>
      </c>
      <c r="E226" s="1" t="n">
        <v>46248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Allmännings- och besparingsskogar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46248</v>
      </c>
      <c r="F227" t="inlineStr">
        <is>
          <t>VÄSTRA GÖTALANDS LÄN</t>
        </is>
      </c>
      <c r="G227" t="inlineStr">
        <is>
          <t>TIDAHOLM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46248</v>
      </c>
      <c r="F228" t="inlineStr">
        <is>
          <t>VÄSTRA GÖTALANDS LÄN</t>
        </is>
      </c>
      <c r="G228" t="inlineStr">
        <is>
          <t>TIDAHOLM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45105</v>
      </c>
      <c r="E229" s="1" t="n">
        <v>46248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45414</v>
      </c>
      <c r="E230" s="1" t="n">
        <v>46248</v>
      </c>
      <c r="F230" t="inlineStr">
        <is>
          <t>VÄSTRA GÖTALANDS LÄN</t>
        </is>
      </c>
      <c r="G230" t="inlineStr">
        <is>
          <t>TIDAHOLM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64394-2023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46248</v>
      </c>
      <c r="F231" t="inlineStr">
        <is>
          <t>VÄSTRA GÖTALANDS LÄN</t>
        </is>
      </c>
      <c r="G231" t="inlineStr">
        <is>
          <t>TIDAHOLM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45336</v>
      </c>
      <c r="E232" s="1" t="n">
        <v>46248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46248</v>
      </c>
      <c r="F233" t="inlineStr">
        <is>
          <t>VÄSTRA GÖTALANDS LÄN</t>
        </is>
      </c>
      <c r="G233" t="inlineStr">
        <is>
          <t>TIDAHOLM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45758</v>
      </c>
      <c r="E234" s="1" t="n">
        <v>46248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45334</v>
      </c>
      <c r="E235" s="1" t="n">
        <v>46248</v>
      </c>
      <c r="F235" t="inlineStr">
        <is>
          <t>VÄSTRA GÖTALANDS LÄN</t>
        </is>
      </c>
      <c r="G235" t="inlineStr">
        <is>
          <t>TIDAHOLM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73728-2021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46248</v>
      </c>
      <c r="F236" t="inlineStr">
        <is>
          <t>VÄSTRA GÖTALANDS LÄN</t>
        </is>
      </c>
      <c r="G236" t="inlineStr">
        <is>
          <t>TIDAHOLM</t>
        </is>
      </c>
      <c r="I236" t="n">
        <v>9.4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46248</v>
      </c>
      <c r="F237" t="inlineStr">
        <is>
          <t>VÄSTRA GÖTALANDS LÄN</t>
        </is>
      </c>
      <c r="G237" t="inlineStr">
        <is>
          <t>TIDAHOLM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46248</v>
      </c>
      <c r="F238" t="inlineStr">
        <is>
          <t>VÄSTRA GÖTALANDS LÄN</t>
        </is>
      </c>
      <c r="G238" t="inlineStr">
        <is>
          <t>TIDAHOLM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16382-2023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45029</v>
      </c>
      <c r="E239" s="1" t="n">
        <v>46248</v>
      </c>
      <c r="F239" t="inlineStr">
        <is>
          <t>VÄSTRA GÖTALANDS LÄN</t>
        </is>
      </c>
      <c r="G239" t="inlineStr">
        <is>
          <t>TIDAHOLM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46248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46248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46248</v>
      </c>
      <c r="F242" t="inlineStr">
        <is>
          <t>VÄSTRA GÖTALANDS LÄN</t>
        </is>
      </c>
      <c r="G242" t="inlineStr">
        <is>
          <t>TIDAHOLM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46248</v>
      </c>
      <c r="F243" t="inlineStr">
        <is>
          <t>VÄSTRA GÖTALANDS LÄN</t>
        </is>
      </c>
      <c r="G243" t="inlineStr">
        <is>
          <t>TIDAHOLM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44866</v>
      </c>
      <c r="E244" s="1" t="n">
        <v>46248</v>
      </c>
      <c r="F244" t="inlineStr">
        <is>
          <t>VÄSTRA GÖTALANDS LÄN</t>
        </is>
      </c>
      <c r="G244" t="inlineStr">
        <is>
          <t>TIDAHOLM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44720</v>
      </c>
      <c r="E245" s="1" t="n">
        <v>46248</v>
      </c>
      <c r="F245" t="inlineStr">
        <is>
          <t>VÄSTRA GÖTALANDS LÄN</t>
        </is>
      </c>
      <c r="G245" t="inlineStr">
        <is>
          <t>TIDAHOLM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44902</v>
      </c>
      <c r="E246" s="1" t="n">
        <v>46248</v>
      </c>
      <c r="F246" t="inlineStr">
        <is>
          <t>VÄSTRA GÖTALANDS LÄN</t>
        </is>
      </c>
      <c r="G246" t="inlineStr">
        <is>
          <t>TIDAHOLM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46248</v>
      </c>
      <c r="F247" t="inlineStr">
        <is>
          <t>VÄSTRA GÖTALANDS LÄN</t>
        </is>
      </c>
      <c r="G247" t="inlineStr">
        <is>
          <t>TIDAHOLM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44994</v>
      </c>
      <c r="E248" s="1" t="n">
        <v>46248</v>
      </c>
      <c r="F248" t="inlineStr">
        <is>
          <t>VÄSTRA GÖTALANDS LÄN</t>
        </is>
      </c>
      <c r="G248" t="inlineStr">
        <is>
          <t>TIDAHOLM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45205</v>
      </c>
      <c r="E249" s="1" t="n">
        <v>46248</v>
      </c>
      <c r="F249" t="inlineStr">
        <is>
          <t>VÄSTRA GÖTALANDS LÄN</t>
        </is>
      </c>
      <c r="G249" t="inlineStr">
        <is>
          <t>TIDAHOLM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46248</v>
      </c>
      <c r="F250" t="inlineStr">
        <is>
          <t>VÄSTRA GÖTALANDS LÄN</t>
        </is>
      </c>
      <c r="G250" t="inlineStr">
        <is>
          <t>TIDAHOLM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46248</v>
      </c>
      <c r="F251" t="inlineStr">
        <is>
          <t>VÄSTRA GÖTALANDS LÄN</t>
        </is>
      </c>
      <c r="G251" t="inlineStr">
        <is>
          <t>TIDAHOLM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46248</v>
      </c>
      <c r="F252" t="inlineStr">
        <is>
          <t>VÄSTRA GÖTALANDS LÄN</t>
        </is>
      </c>
      <c r="G252" t="inlineStr">
        <is>
          <t>TIDAHOLM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11437-2022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44630</v>
      </c>
      <c r="E253" s="1" t="n">
        <v>46248</v>
      </c>
      <c r="F253" t="inlineStr">
        <is>
          <t>VÄSTRA GÖTALANDS LÄN</t>
        </is>
      </c>
      <c r="G253" t="inlineStr">
        <is>
          <t>TIDAHOLM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46248</v>
      </c>
      <c r="F254" t="inlineStr">
        <is>
          <t>VÄSTRA GÖTALANDS LÄN</t>
        </is>
      </c>
      <c r="G254" t="inlineStr">
        <is>
          <t>TIDAHOLM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46248</v>
      </c>
      <c r="F255" t="inlineStr">
        <is>
          <t>VÄSTRA GÖTALANDS LÄN</t>
        </is>
      </c>
      <c r="G255" t="inlineStr">
        <is>
          <t>TIDAHOLM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7931-2024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45350</v>
      </c>
      <c r="E256" s="1" t="n">
        <v>46248</v>
      </c>
      <c r="F256" t="inlineStr">
        <is>
          <t>VÄSTRA GÖTALANDS LÄN</t>
        </is>
      </c>
      <c r="G256" t="inlineStr">
        <is>
          <t>TIDAHOLM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44997</v>
      </c>
      <c r="E257" s="1" t="n">
        <v>46248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46248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45120</v>
      </c>
      <c r="E259" s="1" t="n">
        <v>46248</v>
      </c>
      <c r="F259" t="inlineStr">
        <is>
          <t>VÄSTRA GÖTALANDS LÄN</t>
        </is>
      </c>
      <c r="G259" t="inlineStr">
        <is>
          <t>TIDAHOLM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60923-2024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46248</v>
      </c>
      <c r="F260" t="inlineStr">
        <is>
          <t>VÄSTRA GÖTALANDS LÄN</t>
        </is>
      </c>
      <c r="G260" t="inlineStr">
        <is>
          <t>TIDAHOLM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46248</v>
      </c>
      <c r="F261" t="inlineStr">
        <is>
          <t>VÄSTRA GÖTALANDS LÄN</t>
        </is>
      </c>
      <c r="G261" t="inlineStr">
        <is>
          <t>TIDAHOLM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45096</v>
      </c>
      <c r="E262" s="1" t="n">
        <v>46248</v>
      </c>
      <c r="F262" t="inlineStr">
        <is>
          <t>VÄSTRA GÖTALANDS LÄN</t>
        </is>
      </c>
      <c r="G262" t="inlineStr">
        <is>
          <t>TIDAHOLM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46248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Kyrkan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45594</v>
      </c>
      <c r="E264" s="1" t="n">
        <v>46248</v>
      </c>
      <c r="F264" t="inlineStr">
        <is>
          <t>VÄSTRA GÖTALANDS LÄN</t>
        </is>
      </c>
      <c r="G264" t="inlineStr">
        <is>
          <t>TIDAHOLM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45786</v>
      </c>
      <c r="E265" s="1" t="n">
        <v>46248</v>
      </c>
      <c r="F265" t="inlineStr">
        <is>
          <t>VÄSTRA GÖTALANDS LÄN</t>
        </is>
      </c>
      <c r="G265" t="inlineStr">
        <is>
          <t>TIDAHOLM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29182-2025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45821</v>
      </c>
      <c r="E266" s="1" t="n">
        <v>46248</v>
      </c>
      <c r="F266" t="inlineStr">
        <is>
          <t>VÄSTRA GÖTALANDS LÄN</t>
        </is>
      </c>
      <c r="G266" t="inlineStr">
        <is>
          <t>TIDAHOLM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46248</v>
      </c>
      <c r="F267" t="inlineStr">
        <is>
          <t>VÄSTRA GÖTALANDS LÄN</t>
        </is>
      </c>
      <c r="G267" t="inlineStr">
        <is>
          <t>TIDAHOLM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46248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45096</v>
      </c>
      <c r="E269" s="1" t="n">
        <v>46248</v>
      </c>
      <c r="F269" t="inlineStr">
        <is>
          <t>VÄSTRA GÖTALANDS LÄN</t>
        </is>
      </c>
      <c r="G269" t="inlineStr">
        <is>
          <t>TIDAHOLM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46248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45258</v>
      </c>
      <c r="E271" s="1" t="n">
        <v>46248</v>
      </c>
      <c r="F271" t="inlineStr">
        <is>
          <t>VÄSTRA GÖTALANDS LÄN</t>
        </is>
      </c>
      <c r="G271" t="inlineStr">
        <is>
          <t>TIDAHOLM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45041</v>
      </c>
      <c r="E272" s="1" t="n">
        <v>46248</v>
      </c>
      <c r="F272" t="inlineStr">
        <is>
          <t>VÄSTRA GÖTALANDS LÄN</t>
        </is>
      </c>
      <c r="G272" t="inlineStr">
        <is>
          <t>TIDAHOLM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46248</v>
      </c>
      <c r="F273" t="inlineStr">
        <is>
          <t>VÄSTRA GÖTALANDS LÄN</t>
        </is>
      </c>
      <c r="G273" t="inlineStr">
        <is>
          <t>TIDAHOLM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45784</v>
      </c>
      <c r="E274" s="1" t="n">
        <v>46248</v>
      </c>
      <c r="F274" t="inlineStr">
        <is>
          <t>VÄSTRA GÖTALANDS LÄN</t>
        </is>
      </c>
      <c r="G274" t="inlineStr">
        <is>
          <t>TIDAHOLM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45891</v>
      </c>
      <c r="E275" s="1" t="n">
        <v>46248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46248</v>
      </c>
      <c r="F276" t="inlineStr">
        <is>
          <t>VÄSTRA GÖTALANDS LÄN</t>
        </is>
      </c>
      <c r="G276" t="inlineStr">
        <is>
          <t>TIDAHOLM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46248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45779</v>
      </c>
      <c r="E278" s="1" t="n">
        <v>46248</v>
      </c>
      <c r="F278" t="inlineStr">
        <is>
          <t>VÄSTRA GÖTALANDS LÄN</t>
        </is>
      </c>
      <c r="G278" t="inlineStr">
        <is>
          <t>TIDAHOLM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46248</v>
      </c>
      <c r="F279" t="inlineStr">
        <is>
          <t>VÄSTRA GÖTALANDS LÄN</t>
        </is>
      </c>
      <c r="G279" t="inlineStr">
        <is>
          <t>TIDAHOLM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46248</v>
      </c>
      <c r="F280" t="inlineStr">
        <is>
          <t>VÄSTRA GÖTALANDS LÄN</t>
        </is>
      </c>
      <c r="G280" t="inlineStr">
        <is>
          <t>TIDAHOLM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44622</v>
      </c>
      <c r="E281" s="1" t="n">
        <v>46248</v>
      </c>
      <c r="F281" t="inlineStr">
        <is>
          <t>VÄSTRA GÖTALANDS LÄN</t>
        </is>
      </c>
      <c r="G281" t="inlineStr">
        <is>
          <t>TIDAHOLM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46248</v>
      </c>
      <c r="F282" t="inlineStr">
        <is>
          <t>VÄSTRA GÖTALANDS LÄN</t>
        </is>
      </c>
      <c r="G282" t="inlineStr">
        <is>
          <t>TIDAHOLM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45899</v>
      </c>
      <c r="E283" s="1" t="n">
        <v>46248</v>
      </c>
      <c r="F283" t="inlineStr">
        <is>
          <t>VÄSTRA GÖTALANDS LÄN</t>
        </is>
      </c>
      <c r="G283" t="inlineStr">
        <is>
          <t>TIDAHOLM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30675-2024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45495</v>
      </c>
      <c r="E284" s="1" t="n">
        <v>46248</v>
      </c>
      <c r="F284" t="inlineStr">
        <is>
          <t>VÄSTRA GÖTALANDS LÄN</t>
        </is>
      </c>
      <c r="G284" t="inlineStr">
        <is>
          <t>TIDAHOLM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30677-2024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45495</v>
      </c>
      <c r="E285" s="1" t="n">
        <v>46248</v>
      </c>
      <c r="F285" t="inlineStr">
        <is>
          <t>VÄSTRA GÖTALANDS LÄN</t>
        </is>
      </c>
      <c r="G285" t="inlineStr">
        <is>
          <t>TIDAHOLM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46248</v>
      </c>
      <c r="F286" t="inlineStr">
        <is>
          <t>VÄSTRA GÖTALANDS LÄN</t>
        </is>
      </c>
      <c r="G286" t="inlineStr">
        <is>
          <t>TIDAHOLM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45779</v>
      </c>
      <c r="E287" s="1" t="n">
        <v>46248</v>
      </c>
      <c r="F287" t="inlineStr">
        <is>
          <t>VÄSTRA GÖTALANDS LÄN</t>
        </is>
      </c>
      <c r="G287" t="inlineStr">
        <is>
          <t>TIDAHOLM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45669</v>
      </c>
      <c r="E288" s="1" t="n">
        <v>46248</v>
      </c>
      <c r="F288" t="inlineStr">
        <is>
          <t>VÄSTRA GÖTALANDS LÄN</t>
        </is>
      </c>
      <c r="G288" t="inlineStr">
        <is>
          <t>TIDAHOLM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46248</v>
      </c>
      <c r="F289" t="inlineStr">
        <is>
          <t>VÄSTRA GÖTALANDS LÄN</t>
        </is>
      </c>
      <c r="G289" t="inlineStr">
        <is>
          <t>TIDAHOLM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46248</v>
      </c>
      <c r="F290" t="inlineStr">
        <is>
          <t>VÄSTRA GÖTALANDS LÄN</t>
        </is>
      </c>
      <c r="G290" t="inlineStr">
        <is>
          <t>TIDAHOLM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14334-2025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45740</v>
      </c>
      <c r="E291" s="1" t="n">
        <v>46248</v>
      </c>
      <c r="F291" t="inlineStr">
        <is>
          <t>VÄSTRA GÖTALANDS LÄN</t>
        </is>
      </c>
      <c r="G291" t="inlineStr">
        <is>
          <t>TIDAHOLM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28957-2025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45821</v>
      </c>
      <c r="E292" s="1" t="n">
        <v>46248</v>
      </c>
      <c r="F292" t="inlineStr">
        <is>
          <t>VÄSTRA GÖTALANDS LÄN</t>
        </is>
      </c>
      <c r="G292" t="inlineStr">
        <is>
          <t>TIDAHOLM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46248</v>
      </c>
      <c r="F293" t="inlineStr">
        <is>
          <t>VÄSTRA GÖTALANDS LÄN</t>
        </is>
      </c>
      <c r="G293" t="inlineStr">
        <is>
          <t>TIDAHOLM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46248</v>
      </c>
      <c r="F294" t="inlineStr">
        <is>
          <t>VÄSTRA GÖTALANDS LÄN</t>
        </is>
      </c>
      <c r="G294" t="inlineStr">
        <is>
          <t>TIDAHOLM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45090</v>
      </c>
      <c r="E295" s="1" t="n">
        <v>46248</v>
      </c>
      <c r="F295" t="inlineStr">
        <is>
          <t>VÄSTRA GÖTALANDS LÄN</t>
        </is>
      </c>
      <c r="G295" t="inlineStr">
        <is>
          <t>TIDAHOLM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34621-2025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45847</v>
      </c>
      <c r="E296" s="1" t="n">
        <v>46248</v>
      </c>
      <c r="F296" t="inlineStr">
        <is>
          <t>VÄSTRA GÖTALANDS LÄN</t>
        </is>
      </c>
      <c r="G296" t="inlineStr">
        <is>
          <t>TIDAHOLM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35388-2025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45855</v>
      </c>
      <c r="E297" s="1" t="n">
        <v>46248</v>
      </c>
      <c r="F297" t="inlineStr">
        <is>
          <t>VÄSTRA GÖTALANDS LÄN</t>
        </is>
      </c>
      <c r="G297" t="inlineStr">
        <is>
          <t>TIDAHOLM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45473</v>
      </c>
      <c r="E298" s="1" t="n">
        <v>46248</v>
      </c>
      <c r="F298" t="inlineStr">
        <is>
          <t>VÄSTRA GÖTALANDS LÄN</t>
        </is>
      </c>
      <c r="G298" t="inlineStr">
        <is>
          <t>TIDAHOLM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45861</v>
      </c>
      <c r="E299" s="1" t="n">
        <v>46248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45183</v>
      </c>
      <c r="E300" s="1" t="n">
        <v>46248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Allmännings- och besparingsskogar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46248</v>
      </c>
      <c r="F301" t="inlineStr">
        <is>
          <t>VÄSTRA GÖTALANDS LÄN</t>
        </is>
      </c>
      <c r="G301" t="inlineStr">
        <is>
          <t>TIDAHOLM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46248</v>
      </c>
      <c r="F302" t="inlineStr">
        <is>
          <t>VÄSTRA GÖTALANDS LÄN</t>
        </is>
      </c>
      <c r="G302" t="inlineStr">
        <is>
          <t>TIDAHOLM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69446-2021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44531</v>
      </c>
      <c r="E303" s="1" t="n">
        <v>46248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Kyrkan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45752</v>
      </c>
      <c r="E304" s="1" t="n">
        <v>46248</v>
      </c>
      <c r="F304" t="inlineStr">
        <is>
          <t>VÄSTRA GÖTALANDS LÄN</t>
        </is>
      </c>
      <c r="G304" t="inlineStr">
        <is>
          <t>TIDAHOLM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46248</v>
      </c>
      <c r="F305" t="inlineStr">
        <is>
          <t>VÄSTRA GÖTALANDS LÄN</t>
        </is>
      </c>
      <c r="G305" t="inlineStr">
        <is>
          <t>TIDAHOLM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45904</v>
      </c>
      <c r="E306" s="1" t="n">
        <v>46248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46248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45904</v>
      </c>
      <c r="E308" s="1" t="n">
        <v>46248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46248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46248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46248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45779</v>
      </c>
      <c r="E312" s="1" t="n">
        <v>46248</v>
      </c>
      <c r="F312" t="inlineStr">
        <is>
          <t>VÄSTRA GÖTALANDS LÄN</t>
        </is>
      </c>
      <c r="G312" t="inlineStr">
        <is>
          <t>TIDAHOLM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46248</v>
      </c>
      <c r="F313" t="inlineStr">
        <is>
          <t>VÄSTRA GÖTALANDS LÄN</t>
        </is>
      </c>
      <c r="G313" t="inlineStr">
        <is>
          <t>TIDAHOLM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46248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Allmännings- och besparingsskogar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46248</v>
      </c>
      <c r="F315" t="inlineStr">
        <is>
          <t>VÄSTRA GÖTALANDS LÄN</t>
        </is>
      </c>
      <c r="G315" t="inlineStr">
        <is>
          <t>TIDAHOLM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46248</v>
      </c>
      <c r="F316" t="inlineStr">
        <is>
          <t>VÄSTRA GÖTALANDS LÄN</t>
        </is>
      </c>
      <c r="G316" t="inlineStr">
        <is>
          <t>TIDAHOLM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45473</v>
      </c>
      <c r="E317" s="1" t="n">
        <v>46248</v>
      </c>
      <c r="F317" t="inlineStr">
        <is>
          <t>VÄSTRA GÖTALANDS LÄN</t>
        </is>
      </c>
      <c r="G317" t="inlineStr">
        <is>
          <t>TIDAHOLM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45530</v>
      </c>
      <c r="E318" s="1" t="n">
        <v>46248</v>
      </c>
      <c r="F318" t="inlineStr">
        <is>
          <t>VÄSTRA GÖTALANDS LÄN</t>
        </is>
      </c>
      <c r="G318" t="inlineStr">
        <is>
          <t>TIDAHOLM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46248</v>
      </c>
      <c r="F319" t="inlineStr">
        <is>
          <t>VÄSTRA GÖTALANDS LÄN</t>
        </is>
      </c>
      <c r="G319" t="inlineStr">
        <is>
          <t>TIDAHOLM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46248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45711</v>
      </c>
      <c r="E321" s="1" t="n">
        <v>46248</v>
      </c>
      <c r="F321" t="inlineStr">
        <is>
          <t>VÄSTRA GÖTALANDS LÄN</t>
        </is>
      </c>
      <c r="G321" t="inlineStr">
        <is>
          <t>TIDAHOLM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33568-2024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45519</v>
      </c>
      <c r="E322" s="1" t="n">
        <v>46248</v>
      </c>
      <c r="F322" t="inlineStr">
        <is>
          <t>VÄSTRA GÖTALANDS LÄN</t>
        </is>
      </c>
      <c r="G322" t="inlineStr">
        <is>
          <t>TIDAHOLM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46248</v>
      </c>
      <c r="F323" t="inlineStr">
        <is>
          <t>VÄSTRA GÖTALANDS LÄN</t>
        </is>
      </c>
      <c r="G323" t="inlineStr">
        <is>
          <t>TIDAHOLM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45814</v>
      </c>
      <c r="E324" s="1" t="n">
        <v>46248</v>
      </c>
      <c r="F324" t="inlineStr">
        <is>
          <t>VÄSTRA GÖTALANDS LÄN</t>
        </is>
      </c>
      <c r="G324" t="inlineStr">
        <is>
          <t>TIDAHOLM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45680</v>
      </c>
      <c r="E325" s="1" t="n">
        <v>46248</v>
      </c>
      <c r="F325" t="inlineStr">
        <is>
          <t>VÄSTRA GÖTALANDS LÄN</t>
        </is>
      </c>
      <c r="G325" t="inlineStr">
        <is>
          <t>TIDAHOLM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45392</v>
      </c>
      <c r="E326" s="1" t="n">
        <v>46248</v>
      </c>
      <c r="F326" t="inlineStr">
        <is>
          <t>VÄSTRA GÖTALANDS LÄN</t>
        </is>
      </c>
      <c r="G326" t="inlineStr">
        <is>
          <t>TIDAHOLM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46248</v>
      </c>
      <c r="F327" t="inlineStr">
        <is>
          <t>VÄSTRA GÖTALANDS LÄN</t>
        </is>
      </c>
      <c r="G327" t="inlineStr">
        <is>
          <t>TIDAHOLM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45728</v>
      </c>
      <c r="E328" s="1" t="n">
        <v>46248</v>
      </c>
      <c r="F328" t="inlineStr">
        <is>
          <t>VÄSTRA GÖTALANDS LÄN</t>
        </is>
      </c>
      <c r="G328" t="inlineStr">
        <is>
          <t>TIDAHOLM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46248</v>
      </c>
      <c r="F329" t="inlineStr">
        <is>
          <t>VÄSTRA GÖTALANDS LÄN</t>
        </is>
      </c>
      <c r="G329" t="inlineStr">
        <is>
          <t>TIDAHOLM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46248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47370-2025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45930</v>
      </c>
      <c r="E331" s="1" t="n">
        <v>46248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46248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46248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46248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45931</v>
      </c>
      <c r="E335" s="1" t="n">
        <v>46248</v>
      </c>
      <c r="F335" t="inlineStr">
        <is>
          <t>VÄSTRA GÖTALANDS LÄN</t>
        </is>
      </c>
      <c r="G335" t="inlineStr">
        <is>
          <t>TIDAHOLM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46248</v>
      </c>
      <c r="F336" t="inlineStr">
        <is>
          <t>VÄSTRA GÖTALANDS LÄN</t>
        </is>
      </c>
      <c r="G336" t="inlineStr">
        <is>
          <t>TIDAHOLM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46248</v>
      </c>
      <c r="F337" t="inlineStr">
        <is>
          <t>VÄSTRA GÖTALANDS LÄN</t>
        </is>
      </c>
      <c r="G337" t="inlineStr">
        <is>
          <t>TIDAHOLM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46248</v>
      </c>
      <c r="F338" t="inlineStr">
        <is>
          <t>VÄSTRA GÖTALANDS LÄN</t>
        </is>
      </c>
      <c r="G338" t="inlineStr">
        <is>
          <t>TIDAHOLM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46175</v>
      </c>
      <c r="E339" s="1" t="n">
        <v>46248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46175</v>
      </c>
      <c r="E340" s="1" t="n">
        <v>46248</v>
      </c>
      <c r="F340" t="inlineStr">
        <is>
          <t>VÄSTRA GÖTALANDS LÄN</t>
        </is>
      </c>
      <c r="G340" t="inlineStr">
        <is>
          <t>TIDAHOLM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26525-2024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45469</v>
      </c>
      <c r="E341" s="1" t="n">
        <v>46248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46248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Kyrkan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46248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46248</v>
      </c>
      <c r="F344" t="inlineStr">
        <is>
          <t>VÄSTRA GÖTALANDS LÄN</t>
        </is>
      </c>
      <c r="G344" t="inlineStr">
        <is>
          <t>TIDAHOLM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46248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54941-2025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45967</v>
      </c>
      <c r="E346" s="1" t="n">
        <v>46248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54945-2025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45967</v>
      </c>
      <c r="E347" s="1" t="n">
        <v>46248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45967</v>
      </c>
      <c r="E348" s="1" t="n">
        <v>46248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46248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46248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45967</v>
      </c>
      <c r="E351" s="1" t="n">
        <v>46248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54974-2025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45967</v>
      </c>
      <c r="E352" s="1" t="n">
        <v>46248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46248</v>
      </c>
      <c r="F353" t="inlineStr">
        <is>
          <t>VÄSTRA GÖTALANDS LÄN</t>
        </is>
      </c>
      <c r="G353" t="inlineStr">
        <is>
          <t>TIDAHOLM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45968</v>
      </c>
      <c r="E354" s="1" t="n">
        <v>46248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46248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Kyrkan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46248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46248</v>
      </c>
      <c r="F357" t="inlineStr">
        <is>
          <t>VÄSTRA GÖTALANDS LÄN</t>
        </is>
      </c>
      <c r="G357" t="inlineStr">
        <is>
          <t>TIDAHOLM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46248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46248</v>
      </c>
      <c r="F359" t="inlineStr">
        <is>
          <t>VÄSTRA GÖTALANDS LÄN</t>
        </is>
      </c>
      <c r="G359" t="inlineStr">
        <is>
          <t>TIDAHOLM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45951</v>
      </c>
      <c r="E360" s="1" t="n">
        <v>46248</v>
      </c>
      <c r="F360" t="inlineStr">
        <is>
          <t>VÄSTRA GÖTALANDS LÄN</t>
        </is>
      </c>
      <c r="G360" t="inlineStr">
        <is>
          <t>TIDAHOLM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62329-2025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46006</v>
      </c>
      <c r="E361" s="1" t="n">
        <v>46248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Kyrkan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46014</v>
      </c>
      <c r="E362" s="1" t="n">
        <v>46248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Kommuner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46248</v>
      </c>
      <c r="F363" t="inlineStr">
        <is>
          <t>VÄSTRA GÖTALANDS LÄN</t>
        </is>
      </c>
      <c r="G363" t="inlineStr">
        <is>
          <t>TIDAHOLM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46021</v>
      </c>
      <c r="E364" s="1" t="n">
        <v>46248</v>
      </c>
      <c r="F364" t="inlineStr">
        <is>
          <t>VÄSTRA GÖTALANDS LÄN</t>
        </is>
      </c>
      <c r="G364" t="inlineStr">
        <is>
          <t>TIDAHOLM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45240</v>
      </c>
      <c r="E365" s="1" t="n">
        <v>46248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Kyrkan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46248</v>
      </c>
      <c r="F366" t="inlineStr">
        <is>
          <t>VÄSTRA GÖTALANDS LÄN</t>
        </is>
      </c>
      <c r="G366" t="inlineStr">
        <is>
          <t>TIDAHOLM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46248</v>
      </c>
      <c r="F367" t="inlineStr">
        <is>
          <t>VÄSTRA GÖTALANDS LÄN</t>
        </is>
      </c>
      <c r="G367" t="inlineStr">
        <is>
          <t>TIDAHOLM</t>
        </is>
      </c>
      <c r="I367" t="n">
        <v>23.4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46248</v>
      </c>
      <c r="F368" t="inlineStr">
        <is>
          <t>VÄSTRA GÖTALANDS LÄN</t>
        </is>
      </c>
      <c r="G368" t="inlineStr">
        <is>
          <t>TIDAHOLM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46248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Kommuner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46248</v>
      </c>
      <c r="F370" t="inlineStr">
        <is>
          <t>VÄSTRA GÖTALANDS LÄN</t>
        </is>
      </c>
      <c r="G370" t="inlineStr">
        <is>
          <t>TIDAHOLM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46064</v>
      </c>
      <c r="E371" s="1" t="n">
        <v>46248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Kommuner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11296-2026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46080</v>
      </c>
      <c r="E372" s="1" t="n">
        <v>46248</v>
      </c>
      <c r="F372" t="inlineStr">
        <is>
          <t>VÄSTRA GÖTALANDS LÄN</t>
        </is>
      </c>
      <c r="G372" t="inlineStr">
        <is>
          <t>TIDAHOLM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46248</v>
      </c>
      <c r="F373" t="inlineStr">
        <is>
          <t>VÄSTRA GÖTALANDS LÄN</t>
        </is>
      </c>
      <c r="G373" t="inlineStr">
        <is>
          <t>TIDAHOLM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11291-2026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46080</v>
      </c>
      <c r="E374" s="1" t="n">
        <v>46248</v>
      </c>
      <c r="F374" t="inlineStr">
        <is>
          <t>VÄSTRA GÖTALANDS LÄN</t>
        </is>
      </c>
      <c r="G374" t="inlineStr">
        <is>
          <t>TIDAHOLM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46248</v>
      </c>
      <c r="F375" t="inlineStr">
        <is>
          <t>VÄSTRA GÖTALANDS LÄN</t>
        </is>
      </c>
      <c r="G375" t="inlineStr">
        <is>
          <t>TIDAHOLM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46248</v>
      </c>
      <c r="F376" t="inlineStr">
        <is>
          <t>VÄSTRA GÖTALANDS LÄN</t>
        </is>
      </c>
      <c r="G376" t="inlineStr">
        <is>
          <t>TIDAHOLM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46248</v>
      </c>
      <c r="F377" t="inlineStr">
        <is>
          <t>VÄSTRA GÖTALANDS LÄN</t>
        </is>
      </c>
      <c r="G377" t="inlineStr">
        <is>
          <t>TIDAHOLM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12525-2026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46248</v>
      </c>
      <c r="F378" t="inlineStr">
        <is>
          <t>VÄSTRA GÖTALANDS LÄN</t>
        </is>
      </c>
      <c r="G378" t="inlineStr">
        <is>
          <t>TIDAHOLM</t>
        </is>
      </c>
      <c r="I378" t="n">
        <v>13.7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46248</v>
      </c>
      <c r="F379" t="inlineStr">
        <is>
          <t>VÄSTRA GÖTALANDS LÄN</t>
        </is>
      </c>
      <c r="G379" t="inlineStr">
        <is>
          <t>TIDAHOLM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46248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15284-2026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46248</v>
      </c>
      <c r="F381" t="inlineStr">
        <is>
          <t>VÄSTRA GÖTALANDS LÄN</t>
        </is>
      </c>
      <c r="G381" t="inlineStr">
        <is>
          <t>TIDAHOLM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46248</v>
      </c>
      <c r="F382" t="inlineStr">
        <is>
          <t>VÄSTRA GÖTALANDS LÄN</t>
        </is>
      </c>
      <c r="G382" t="inlineStr">
        <is>
          <t>TIDAHOLM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17083-2026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46248</v>
      </c>
      <c r="F383" t="inlineStr">
        <is>
          <t>VÄSTRA GÖTALANDS LÄN</t>
        </is>
      </c>
      <c r="G383" t="inlineStr">
        <is>
          <t>TIDAHOLM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17968-2026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46123</v>
      </c>
      <c r="E384" s="1" t="n">
        <v>46248</v>
      </c>
      <c r="F384" t="inlineStr">
        <is>
          <t>VÄSTRA GÖTALANDS LÄN</t>
        </is>
      </c>
      <c r="G384" t="inlineStr">
        <is>
          <t>TIDAHOLM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46129</v>
      </c>
      <c r="E385" s="1" t="n">
        <v>46248</v>
      </c>
      <c r="F385" t="inlineStr">
        <is>
          <t>VÄSTRA GÖTALANDS LÄN</t>
        </is>
      </c>
      <c r="G385" t="inlineStr">
        <is>
          <t>TIDAHOLM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19028-2026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46131</v>
      </c>
      <c r="E386" s="1" t="n">
        <v>46248</v>
      </c>
      <c r="F386" t="inlineStr">
        <is>
          <t>VÄSTRA GÖTALANDS LÄN</t>
        </is>
      </c>
      <c r="G386" t="inlineStr">
        <is>
          <t>TIDAHOLM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34842-2024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45526</v>
      </c>
      <c r="E387" s="1" t="n">
        <v>46248</v>
      </c>
      <c r="F387" t="inlineStr">
        <is>
          <t>VÄSTRA GÖTALANDS LÄN</t>
        </is>
      </c>
      <c r="G387" t="inlineStr">
        <is>
          <t>TIDAHOLM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46248</v>
      </c>
      <c r="F388" t="inlineStr">
        <is>
          <t>VÄSTRA GÖTALANDS LÄN</t>
        </is>
      </c>
      <c r="G388" t="inlineStr">
        <is>
          <t>TIDAHOLM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45875</v>
      </c>
      <c r="E389" s="1" t="n">
        <v>46248</v>
      </c>
      <c r="F389" t="inlineStr">
        <is>
          <t>VÄSTRA GÖTALANDS LÄN</t>
        </is>
      </c>
      <c r="G389" t="inlineStr">
        <is>
          <t>TIDAHOLM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46248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46248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46248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46248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2026-08-14T01:52:42Z</dcterms:created>
  <dcterms:modified xmlns:dcterms="http://purl.org/dc/terms/" xmlns:xsi="http://www.w3.org/2001/XMLSchema-instance" xsi:type="dcterms:W3CDTF">2026-08-14T01:52:42Z</dcterms:modified>
</cp:coreProperties>
</file>