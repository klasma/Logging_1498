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46197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Gullpudra
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46261-2021</t>
        </is>
      </c>
      <c r="B5" s="1" t="n">
        <v>44442</v>
      </c>
      <c r="C5" s="1" t="n">
        <v>46197</v>
      </c>
      <c r="D5" t="inlineStr">
        <is>
          <t>VÄSTRA GÖTALANDS LÄN</t>
        </is>
      </c>
      <c r="E5" t="inlineStr">
        <is>
          <t>TIDAHOLM</t>
        </is>
      </c>
      <c r="F5" t="inlineStr">
        <is>
          <t>Sveaskog</t>
        </is>
      </c>
      <c r="G5" t="n">
        <v>6.3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Grynig filtlav
Fällmossa
Blåsippa</t>
        </is>
      </c>
      <c r="S5">
        <f>HYPERLINK("https://klasma.github.io/Logging_1498/artfynd/A 46261-2021 artfynd.xlsx", "A 46261-2021")</f>
        <v/>
      </c>
      <c r="T5">
        <f>HYPERLINK("https://klasma.github.io/Logging_1498/kartor/A 46261-2021 karta.png", "A 46261-2021")</f>
        <v/>
      </c>
      <c r="V5">
        <f>HYPERLINK("https://klasma.github.io/Logging_1498/klagomål/A 46261-2021 FSC-klagomål.docx", "A 46261-2021")</f>
        <v/>
      </c>
      <c r="W5">
        <f>HYPERLINK("https://klasma.github.io/Logging_1498/klagomålsmail/A 46261-2021 FSC-klagomål mail.docx", "A 46261-2021")</f>
        <v/>
      </c>
      <c r="X5">
        <f>HYPERLINK("https://klasma.github.io/Logging_1498/tillsyn/A 46261-2021 tillsynsbegäran.docx", "A 46261-2021")</f>
        <v/>
      </c>
      <c r="Y5">
        <f>HYPERLINK("https://klasma.github.io/Logging_1498/tillsynsmail/A 46261-2021 tillsynsbegäran mail.docx", "A 46261-2021")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46197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46197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46197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46197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46197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46197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41346-2025</t>
        </is>
      </c>
      <c r="B13" s="1" t="n">
        <v>45899</v>
      </c>
      <c r="C13" s="1" t="n">
        <v>46197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HYPERLINK("https://klasma.github.io/Logging_1498/artfynd/A 41346-2025 artfynd.xlsx", "A 41346-2025")</f>
        <v/>
      </c>
      <c r="T13">
        <f>HYPERLINK("https://klasma.github.io/Logging_1498/kartor/A 41346-2025 karta.png", "A 41346-2025")</f>
        <v/>
      </c>
      <c r="V13">
        <f>HYPERLINK("https://klasma.github.io/Logging_1498/klagomål/A 41346-2025 FSC-klagomål.docx", "A 41346-2025")</f>
        <v/>
      </c>
      <c r="W13">
        <f>HYPERLINK("https://klasma.github.io/Logging_1498/klagomålsmail/A 41346-2025 FSC-klagomål mail.docx", "A 41346-2025")</f>
        <v/>
      </c>
      <c r="X13">
        <f>HYPERLINK("https://klasma.github.io/Logging_1498/tillsyn/A 41346-2025 tillsynsbegäran.docx", "A 41346-2025")</f>
        <v/>
      </c>
      <c r="Y13">
        <f>HYPERLINK("https://klasma.github.io/Logging_1498/tillsynsmail/A 41346-2025 tillsynsbegäran mail.docx", "A 41346-2025")</f>
        <v/>
      </c>
    </row>
    <row r="14" ht="15" customHeight="1">
      <c r="A14" t="inlineStr">
        <is>
          <t>A 46247-2025</t>
        </is>
      </c>
      <c r="B14" s="1" t="n">
        <v>45925</v>
      </c>
      <c r="C14" s="1" t="n">
        <v>46197</v>
      </c>
      <c r="D14" t="inlineStr">
        <is>
          <t>VÄSTRA GÖTALANDS LÄN</t>
        </is>
      </c>
      <c r="E14" t="inlineStr">
        <is>
          <t>TIDAHOLM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HYPERLINK("https://klasma.github.io/Logging_1498/artfynd/A 46247-2025 artfynd.xlsx", "A 46247-2025")</f>
        <v/>
      </c>
      <c r="T14">
        <f>HYPERLINK("https://klasma.github.io/Logging_1498/kartor/A 46247-2025 karta.png", "A 46247-2025")</f>
        <v/>
      </c>
      <c r="V14">
        <f>HYPERLINK("https://klasma.github.io/Logging_1498/klagomål/A 46247-2025 FSC-klagomål.docx", "A 46247-2025")</f>
        <v/>
      </c>
      <c r="W14">
        <f>HYPERLINK("https://klasma.github.io/Logging_1498/klagomålsmail/A 46247-2025 FSC-klagomål mail.docx", "A 46247-2025")</f>
        <v/>
      </c>
      <c r="X14">
        <f>HYPERLINK("https://klasma.github.io/Logging_1498/tillsyn/A 46247-2025 tillsynsbegäran.docx", "A 46247-2025")</f>
        <v/>
      </c>
      <c r="Y14">
        <f>HYPERLINK("https://klasma.github.io/Logging_1498/tillsynsmail/A 46247-2025 tillsynsbegäran mail.docx", "A 46247-2025")</f>
        <v/>
      </c>
    </row>
    <row r="15" ht="15" customHeight="1">
      <c r="A15" t="inlineStr">
        <is>
          <t>A 47391-2025</t>
        </is>
      </c>
      <c r="B15" s="1" t="n">
        <v>45930</v>
      </c>
      <c r="C15" s="1" t="n">
        <v>46197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HYPERLINK("https://klasma.github.io/Logging_1498/artfynd/A 47391-2025 artfynd.xlsx", "A 47391-2025")</f>
        <v/>
      </c>
      <c r="T15">
        <f>HYPERLINK("https://klasma.github.io/Logging_1498/kartor/A 47391-2025 karta.png", "A 47391-2025")</f>
        <v/>
      </c>
      <c r="V15">
        <f>HYPERLINK("https://klasma.github.io/Logging_1498/klagomål/A 47391-2025 FSC-klagomål.docx", "A 47391-2025")</f>
        <v/>
      </c>
      <c r="W15">
        <f>HYPERLINK("https://klasma.github.io/Logging_1498/klagomålsmail/A 47391-2025 FSC-klagomål mail.docx", "A 47391-2025")</f>
        <v/>
      </c>
      <c r="X15">
        <f>HYPERLINK("https://klasma.github.io/Logging_1498/tillsyn/A 47391-2025 tillsynsbegäran.docx", "A 47391-2025")</f>
        <v/>
      </c>
      <c r="Y15">
        <f>HYPERLINK("https://klasma.github.io/Logging_1498/tillsynsmail/A 47391-2025 tillsynsbegäran mail.docx", "A 47391-2025")</f>
        <v/>
      </c>
      <c r="Z15">
        <f>HYPERLINK("https://klasma.github.io/Logging_1498/fåglar/A 47391-2025 prioriterade fågelarter.docx", "A 47391-2025")</f>
        <v/>
      </c>
    </row>
    <row r="16" ht="15" customHeight="1">
      <c r="A16" t="inlineStr">
        <is>
          <t>A 6813-2026</t>
        </is>
      </c>
      <c r="B16" s="1" t="n">
        <v>46055</v>
      </c>
      <c r="C16" s="1" t="n">
        <v>46197</v>
      </c>
      <c r="D16" t="inlineStr">
        <is>
          <t>VÄSTRA GÖTALANDS LÄN</t>
        </is>
      </c>
      <c r="E16" t="inlineStr">
        <is>
          <t>TIDAHOLM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HYPERLINK("https://klasma.github.io/Logging_1498/artfynd/A 6813-2026 artfynd.xlsx", "A 6813-2026")</f>
        <v/>
      </c>
      <c r="T16">
        <f>HYPERLINK("https://klasma.github.io/Logging_1498/kartor/A 6813-2026 karta.png", "A 6813-2026")</f>
        <v/>
      </c>
      <c r="V16">
        <f>HYPERLINK("https://klasma.github.io/Logging_1498/klagomål/A 6813-2026 FSC-klagomål.docx", "A 6813-2026")</f>
        <v/>
      </c>
      <c r="W16">
        <f>HYPERLINK("https://klasma.github.io/Logging_1498/klagomålsmail/A 6813-2026 FSC-klagomål mail.docx", "A 6813-2026")</f>
        <v/>
      </c>
      <c r="X16">
        <f>HYPERLINK("https://klasma.github.io/Logging_1498/tillsyn/A 6813-2026 tillsynsbegäran.docx", "A 6813-2026")</f>
        <v/>
      </c>
      <c r="Y16">
        <f>HYPERLINK("https://klasma.github.io/Logging_1498/tillsynsmail/A 6813-2026 tillsynsbegäran mail.docx", "A 6813-2026")</f>
        <v/>
      </c>
    </row>
    <row r="17" ht="15" customHeight="1">
      <c r="A17" t="inlineStr">
        <is>
          <t>A 57539-2023</t>
        </is>
      </c>
      <c r="B17" s="1" t="n">
        <v>45246</v>
      </c>
      <c r="C17" s="1" t="n">
        <v>46197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Kyrkan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HYPERLINK("https://klasma.github.io/Logging_1498/artfynd/A 57539-2023 artfynd.xlsx", "A 57539-2023")</f>
        <v/>
      </c>
      <c r="T17">
        <f>HYPERLINK("https://klasma.github.io/Logging_1498/kartor/A 57539-2023 karta.png", "A 57539-2023")</f>
        <v/>
      </c>
      <c r="V17">
        <f>HYPERLINK("https://klasma.github.io/Logging_1498/klagomål/A 57539-2023 FSC-klagomål.docx", "A 57539-2023")</f>
        <v/>
      </c>
      <c r="W17">
        <f>HYPERLINK("https://klasma.github.io/Logging_1498/klagomålsmail/A 57539-2023 FSC-klagomål mail.docx", "A 57539-2023")</f>
        <v/>
      </c>
      <c r="X17">
        <f>HYPERLINK("https://klasma.github.io/Logging_1498/tillsyn/A 57539-2023 tillsynsbegäran.docx", "A 57539-2023")</f>
        <v/>
      </c>
      <c r="Y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s="1" t="n">
        <v>45232</v>
      </c>
      <c r="C18" s="1" t="n">
        <v>46197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HYPERLINK("https://klasma.github.io/Logging_1498/artfynd/A 54133-2023 artfynd.xlsx", "A 54133-2023")</f>
        <v/>
      </c>
      <c r="T18">
        <f>HYPERLINK("https://klasma.github.io/Logging_1498/kartor/A 54133-2023 karta.png", "A 54133-2023")</f>
        <v/>
      </c>
      <c r="V18">
        <f>HYPERLINK("https://klasma.github.io/Logging_1498/klagomål/A 54133-2023 FSC-klagomål.docx", "A 54133-2023")</f>
        <v/>
      </c>
      <c r="W18">
        <f>HYPERLINK("https://klasma.github.io/Logging_1498/klagomålsmail/A 54133-2023 FSC-klagomål mail.docx", "A 54133-2023")</f>
        <v/>
      </c>
      <c r="X18">
        <f>HYPERLINK("https://klasma.github.io/Logging_1498/tillsyn/A 54133-2023 tillsynsbegäran.docx", "A 54133-2023")</f>
        <v/>
      </c>
      <c r="Y18">
        <f>HYPERLINK("https://klasma.github.io/Logging_1498/tillsynsmail/A 54133-2023 tillsynsbegäran mail.docx", "A 54133-2023")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46197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4052-2025</t>
        </is>
      </c>
      <c r="B20" s="1" t="n">
        <v>45684</v>
      </c>
      <c r="C20" s="1" t="n">
        <v>46197</v>
      </c>
      <c r="D20" t="inlineStr">
        <is>
          <t>VÄSTRA GÖTALANDS LÄN</t>
        </is>
      </c>
      <c r="E20" t="inlineStr">
        <is>
          <t>TIDAHOLM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HYPERLINK("https://klasma.github.io/Logging_1498/artfynd/A 4052-2025 artfynd.xlsx", "A 4052-2025")</f>
        <v/>
      </c>
      <c r="T20">
        <f>HYPERLINK("https://klasma.github.io/Logging_1498/kartor/A 4052-2025 karta.png", "A 4052-2025")</f>
        <v/>
      </c>
      <c r="V20">
        <f>HYPERLINK("https://klasma.github.io/Logging_1498/klagomål/A 4052-2025 FSC-klagomål.docx", "A 4052-2025")</f>
        <v/>
      </c>
      <c r="W20">
        <f>HYPERLINK("https://klasma.github.io/Logging_1498/klagomålsmail/A 4052-2025 FSC-klagomål mail.docx", "A 4052-2025")</f>
        <v/>
      </c>
      <c r="X20">
        <f>HYPERLINK("https://klasma.github.io/Logging_1498/tillsyn/A 4052-2025 tillsynsbegäran.docx", "A 4052-2025")</f>
        <v/>
      </c>
      <c r="Y20">
        <f>HYPERLINK("https://klasma.github.io/Logging_1498/tillsynsmail/A 4052-2025 tillsynsbegäran mail.docx", "A 4052-2025")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46197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46197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46197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46197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46197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46197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46197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46197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46197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46197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46197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46197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46197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46197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46197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46197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46197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46197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46197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46197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46197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46197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46197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46197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46197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46197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46197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46197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46197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46197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46197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46197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46197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46197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46197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46197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46197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46197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46197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46197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46197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46197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46197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46197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46197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46197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46197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</v>
      </c>
      <c r="C72" s="1" t="n">
        <v>46197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46197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46197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46197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</v>
      </c>
      <c r="C76" s="1" t="n">
        <v>46197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</v>
      </c>
      <c r="C77" s="1" t="n">
        <v>46197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</v>
      </c>
      <c r="C78" s="1" t="n">
        <v>46197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</v>
      </c>
      <c r="C79" s="1" t="n">
        <v>46197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46197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46197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46197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46197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5005-2024</t>
        </is>
      </c>
      <c r="B84" s="1" t="n">
        <v>45329</v>
      </c>
      <c r="C84" s="1" t="n">
        <v>46197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5008-2024</t>
        </is>
      </c>
      <c r="B85" s="1" t="n">
        <v>45329</v>
      </c>
      <c r="C85" s="1" t="n">
        <v>46197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46197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49114-2022</t>
        </is>
      </c>
      <c r="B87" s="1" t="n">
        <v>44860</v>
      </c>
      <c r="C87" s="1" t="n">
        <v>46197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</v>
      </c>
      <c r="C88" s="1" t="n">
        <v>46197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46197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46197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49309-2021</t>
        </is>
      </c>
      <c r="B91" s="1" t="n">
        <v>44454</v>
      </c>
      <c r="C91" s="1" t="n">
        <v>46197</v>
      </c>
      <c r="D91" t="inlineStr">
        <is>
          <t>VÄSTRA GÖTALANDS LÄN</t>
        </is>
      </c>
      <c r="E91" t="inlineStr">
        <is>
          <t>TIDAHOLM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48035-2023</t>
        </is>
      </c>
      <c r="B92" s="1" t="n">
        <v>45204</v>
      </c>
      <c r="C92" s="1" t="n">
        <v>46197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61754-2023</t>
        </is>
      </c>
      <c r="B93" s="1" t="n">
        <v>45265</v>
      </c>
      <c r="C93" s="1" t="n">
        <v>46197</v>
      </c>
      <c r="D93" t="inlineStr">
        <is>
          <t>VÄSTRA GÖTALANDS LÄN</t>
        </is>
      </c>
      <c r="E93" t="inlineStr">
        <is>
          <t>TIDAHOLM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57958-2022</t>
        </is>
      </c>
      <c r="B94" s="1" t="n">
        <v>44900</v>
      </c>
      <c r="C94" s="1" t="n">
        <v>46197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35140-2024</t>
        </is>
      </c>
      <c r="B95" s="1" t="n">
        <v>45530</v>
      </c>
      <c r="C95" s="1" t="n">
        <v>46197</v>
      </c>
      <c r="D95" t="inlineStr">
        <is>
          <t>VÄSTRA GÖTALANDS LÄN</t>
        </is>
      </c>
      <c r="E95" t="inlineStr">
        <is>
          <t>TIDAHOLM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2994-2023</t>
        </is>
      </c>
      <c r="B96" s="1" t="n">
        <v>44945</v>
      </c>
      <c r="C96" s="1" t="n">
        <v>46197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45464-2024</t>
        </is>
      </c>
      <c r="B97" s="1" t="n">
        <v>45576</v>
      </c>
      <c r="C97" s="1" t="n">
        <v>46197</v>
      </c>
      <c r="D97" t="inlineStr">
        <is>
          <t>VÄSTRA GÖTALANDS LÄN</t>
        </is>
      </c>
      <c r="E97" t="inlineStr">
        <is>
          <t>TIDAHOLM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7917-2023</t>
        </is>
      </c>
      <c r="B98" s="1" t="n">
        <v>44973</v>
      </c>
      <c r="C98" s="1" t="n">
        <v>46197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27525-2024</t>
        </is>
      </c>
      <c r="B99" s="1" t="n">
        <v>45474</v>
      </c>
      <c r="C99" s="1" t="n">
        <v>46197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4888-2023</t>
        </is>
      </c>
      <c r="B100" s="1" t="n">
        <v>44958</v>
      </c>
      <c r="C100" s="1" t="n">
        <v>46197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5585-2024</t>
        </is>
      </c>
      <c r="B101" s="1" t="n">
        <v>45334</v>
      </c>
      <c r="C101" s="1" t="n">
        <v>46197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68631-2021</t>
        </is>
      </c>
      <c r="B102" s="1" t="n">
        <v>44529</v>
      </c>
      <c r="C102" s="1" t="n">
        <v>46197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29840-2024</t>
        </is>
      </c>
      <c r="B103" s="1" t="n">
        <v>45485</v>
      </c>
      <c r="C103" s="1" t="n">
        <v>46197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26542-2024</t>
        </is>
      </c>
      <c r="B104" s="1" t="n">
        <v>45469</v>
      </c>
      <c r="C104" s="1" t="n">
        <v>46197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18095-2024</t>
        </is>
      </c>
      <c r="B105" s="1" t="n">
        <v>45420</v>
      </c>
      <c r="C105" s="1" t="n">
        <v>46197</v>
      </c>
      <c r="D105" t="inlineStr">
        <is>
          <t>VÄSTRA GÖTALANDS LÄN</t>
        </is>
      </c>
      <c r="E105" t="inlineStr">
        <is>
          <t>TIDAHOLM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28296-2023</t>
        </is>
      </c>
      <c r="B106" s="1" t="n">
        <v>45099</v>
      </c>
      <c r="C106" s="1" t="n">
        <v>46197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29392-2024</t>
        </is>
      </c>
      <c r="B107" s="1" t="n">
        <v>45483</v>
      </c>
      <c r="C107" s="1" t="n">
        <v>46197</v>
      </c>
      <c r="D107" t="inlineStr">
        <is>
          <t>VÄSTRA GÖTALANDS LÄN</t>
        </is>
      </c>
      <c r="E107" t="inlineStr">
        <is>
          <t>TIDAHOLM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7931-2024</t>
        </is>
      </c>
      <c r="B108" s="1" t="n">
        <v>45350</v>
      </c>
      <c r="C108" s="1" t="n">
        <v>46197</v>
      </c>
      <c r="D108" t="inlineStr">
        <is>
          <t>VÄSTRA GÖTALANDS LÄN</t>
        </is>
      </c>
      <c r="E108" t="inlineStr">
        <is>
          <t>TIDAHOLM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40527-2023</t>
        </is>
      </c>
      <c r="B109" s="1" t="n">
        <v>45170</v>
      </c>
      <c r="C109" s="1" t="n">
        <v>46197</v>
      </c>
      <c r="D109" t="inlineStr">
        <is>
          <t>VÄSTRA GÖTALANDS LÄN</t>
        </is>
      </c>
      <c r="E109" t="inlineStr">
        <is>
          <t>TIDAHOLM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60646-2022</t>
        </is>
      </c>
      <c r="B110" s="1" t="n">
        <v>44911</v>
      </c>
      <c r="C110" s="1" t="n">
        <v>46197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56016-2023</t>
        </is>
      </c>
      <c r="B111" s="1" t="n">
        <v>45240</v>
      </c>
      <c r="C111" s="1" t="n">
        <v>46197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60645-2022</t>
        </is>
      </c>
      <c r="B112" s="1" t="n">
        <v>44911</v>
      </c>
      <c r="C112" s="1" t="n">
        <v>46197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3554-2026</t>
        </is>
      </c>
      <c r="B113" s="1" t="n">
        <v>46042</v>
      </c>
      <c r="C113" s="1" t="n">
        <v>46197</v>
      </c>
      <c r="D113" t="inlineStr">
        <is>
          <t>VÄSTRA GÖTALANDS LÄN</t>
        </is>
      </c>
      <c r="E113" t="inlineStr">
        <is>
          <t>TIDAHOLM</t>
        </is>
      </c>
      <c r="G113" t="n">
        <v>23.4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11437-2022</t>
        </is>
      </c>
      <c r="B114" s="1" t="n">
        <v>44630</v>
      </c>
      <c r="C114" s="1" t="n">
        <v>46197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37168-2024</t>
        </is>
      </c>
      <c r="B115" s="1" t="n">
        <v>45539</v>
      </c>
      <c r="C115" s="1" t="n">
        <v>46197</v>
      </c>
      <c r="D115" t="inlineStr">
        <is>
          <t>VÄSTRA GÖTALANDS LÄN</t>
        </is>
      </c>
      <c r="E115" t="inlineStr">
        <is>
          <t>TIDAHOLM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12080-2023</t>
        </is>
      </c>
      <c r="B116" s="1" t="n">
        <v>44997</v>
      </c>
      <c r="C116" s="1" t="n">
        <v>46197</v>
      </c>
      <c r="D116" t="inlineStr">
        <is>
          <t>VÄSTRA GÖTALANDS LÄN</t>
        </is>
      </c>
      <c r="E116" t="inlineStr">
        <is>
          <t>TIDAHOLM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47485-2024</t>
        </is>
      </c>
      <c r="B117" s="1" t="n">
        <v>45587</v>
      </c>
      <c r="C117" s="1" t="n">
        <v>46197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27014-2025</t>
        </is>
      </c>
      <c r="B118" s="1" t="n">
        <v>45811</v>
      </c>
      <c r="C118" s="1" t="n">
        <v>46197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27717-2025</t>
        </is>
      </c>
      <c r="B119" s="1" t="n">
        <v>45814</v>
      </c>
      <c r="C119" s="1" t="n">
        <v>46197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2145-2025</t>
        </is>
      </c>
      <c r="B120" s="1" t="n">
        <v>45672</v>
      </c>
      <c r="C120" s="1" t="n">
        <v>46197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40603-2024</t>
        </is>
      </c>
      <c r="B121" s="1" t="n">
        <v>45556</v>
      </c>
      <c r="C121" s="1" t="n">
        <v>46197</v>
      </c>
      <c r="D121" t="inlineStr">
        <is>
          <t>VÄSTRA GÖTALANDS LÄN</t>
        </is>
      </c>
      <c r="E121" t="inlineStr">
        <is>
          <t>TIDAHOLM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4130-2026</t>
        </is>
      </c>
      <c r="B122" s="1" t="n">
        <v>46044</v>
      </c>
      <c r="C122" s="1" t="n">
        <v>46197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46197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28190-2025</t>
        </is>
      </c>
      <c r="B124" s="1" t="n">
        <v>45818</v>
      </c>
      <c r="C124" s="1" t="n">
        <v>46197</v>
      </c>
      <c r="D124" t="inlineStr">
        <is>
          <t>VÄSTRA GÖTALANDS LÄN</t>
        </is>
      </c>
      <c r="E124" t="inlineStr">
        <is>
          <t>TIDAHOLM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</v>
      </c>
      <c r="C125" s="1" t="n">
        <v>46197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40989-2025</t>
        </is>
      </c>
      <c r="B126" s="1" t="n">
        <v>45898</v>
      </c>
      <c r="C126" s="1" t="n">
        <v>46197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29182-2025</t>
        </is>
      </c>
      <c r="B127" s="1" t="n">
        <v>45821</v>
      </c>
      <c r="C127" s="1" t="n">
        <v>46197</v>
      </c>
      <c r="D127" t="inlineStr">
        <is>
          <t>VÄSTRA GÖTALANDS LÄN</t>
        </is>
      </c>
      <c r="E127" t="inlineStr">
        <is>
          <t>TIDAHOLM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13964-2023</t>
        </is>
      </c>
      <c r="B128" s="1" t="n">
        <v>45007</v>
      </c>
      <c r="C128" s="1" t="n">
        <v>46197</v>
      </c>
      <c r="D128" t="inlineStr">
        <is>
          <t>VÄSTRA GÖTALANDS LÄN</t>
        </is>
      </c>
      <c r="E128" t="inlineStr">
        <is>
          <t>TIDAHOLM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60207-2022</t>
        </is>
      </c>
      <c r="B129" s="1" t="n">
        <v>44910</v>
      </c>
      <c r="C129" s="1" t="n">
        <v>46197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22480-2025</t>
        </is>
      </c>
      <c r="B130" s="1" t="n">
        <v>45786</v>
      </c>
      <c r="C130" s="1" t="n">
        <v>46197</v>
      </c>
      <c r="D130" t="inlineStr">
        <is>
          <t>VÄSTRA GÖTALANDS LÄN</t>
        </is>
      </c>
      <c r="E130" t="inlineStr">
        <is>
          <t>TIDAHOLM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40920-2025</t>
        </is>
      </c>
      <c r="B131" s="1" t="n">
        <v>45897</v>
      </c>
      <c r="C131" s="1" t="n">
        <v>46197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18257-2023</t>
        </is>
      </c>
      <c r="B132" s="1" t="n">
        <v>45041</v>
      </c>
      <c r="C132" s="1" t="n">
        <v>46197</v>
      </c>
      <c r="D132" t="inlineStr">
        <is>
          <t>VÄSTRA GÖTALANDS LÄN</t>
        </is>
      </c>
      <c r="E132" t="inlineStr">
        <is>
          <t>TIDAHOLM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</v>
      </c>
      <c r="C133" s="1" t="n">
        <v>46197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57965-2022</t>
        </is>
      </c>
      <c r="B134" s="1" t="n">
        <v>44900</v>
      </c>
      <c r="C134" s="1" t="n">
        <v>46197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4634-2025</t>
        </is>
      </c>
      <c r="B135" s="1" t="n">
        <v>45687</v>
      </c>
      <c r="C135" s="1" t="n">
        <v>46197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42338-2025</t>
        </is>
      </c>
      <c r="B136" s="1" t="n">
        <v>45904</v>
      </c>
      <c r="C136" s="1" t="n">
        <v>46197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42339-2025</t>
        </is>
      </c>
      <c r="B137" s="1" t="n">
        <v>45904</v>
      </c>
      <c r="C137" s="1" t="n">
        <v>46197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42332-2025</t>
        </is>
      </c>
      <c r="B138" s="1" t="n">
        <v>45904</v>
      </c>
      <c r="C138" s="1" t="n">
        <v>46197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27232-2023</t>
        </is>
      </c>
      <c r="B139" s="1" t="n">
        <v>45096</v>
      </c>
      <c r="C139" s="1" t="n">
        <v>46197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54130-2023</t>
        </is>
      </c>
      <c r="B140" s="1" t="n">
        <v>45232</v>
      </c>
      <c r="C140" s="1" t="n">
        <v>46197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</v>
      </c>
      <c r="C141" s="1" t="n">
        <v>46197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</v>
      </c>
      <c r="C142" s="1" t="n">
        <v>46197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35479-2023</t>
        </is>
      </c>
      <c r="B143" s="1" t="n">
        <v>45146</v>
      </c>
      <c r="C143" s="1" t="n">
        <v>46197</v>
      </c>
      <c r="D143" t="inlineStr">
        <is>
          <t>VÄSTRA GÖTALANDS LÄN</t>
        </is>
      </c>
      <c r="E143" t="inlineStr">
        <is>
          <t>TIDAHOLM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38875-2024</t>
        </is>
      </c>
      <c r="B144" s="1" t="n">
        <v>45547</v>
      </c>
      <c r="C144" s="1" t="n">
        <v>46197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60643-2022</t>
        </is>
      </c>
      <c r="B145" s="1" t="n">
        <v>44911</v>
      </c>
      <c r="C145" s="1" t="n">
        <v>46197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60644-2022</t>
        </is>
      </c>
      <c r="B146" s="1" t="n">
        <v>44911</v>
      </c>
      <c r="C146" s="1" t="n">
        <v>46197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21904-2025</t>
        </is>
      </c>
      <c r="B147" s="1" t="n">
        <v>45784</v>
      </c>
      <c r="C147" s="1" t="n">
        <v>46197</v>
      </c>
      <c r="D147" t="inlineStr">
        <is>
          <t>VÄSTRA GÖTALANDS LÄN</t>
        </is>
      </c>
      <c r="E147" t="inlineStr">
        <is>
          <t>TIDAHOLM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32560-2025</t>
        </is>
      </c>
      <c r="B148" s="1" t="n">
        <v>45838</v>
      </c>
      <c r="C148" s="1" t="n">
        <v>46197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</v>
      </c>
      <c r="C149" s="1" t="n">
        <v>46197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7922-2023</t>
        </is>
      </c>
      <c r="B150" s="1" t="n">
        <v>44973</v>
      </c>
      <c r="C150" s="1" t="n">
        <v>46197</v>
      </c>
      <c r="D150" t="inlineStr">
        <is>
          <t>VÄSTRA GÖTALANDS LÄN</t>
        </is>
      </c>
      <c r="E150" t="inlineStr">
        <is>
          <t>TIDAHOLM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7931-2023</t>
        </is>
      </c>
      <c r="B151" s="1" t="n">
        <v>44973</v>
      </c>
      <c r="C151" s="1" t="n">
        <v>46197</v>
      </c>
      <c r="D151" t="inlineStr">
        <is>
          <t>VÄSTRA GÖTALANDS LÄN</t>
        </is>
      </c>
      <c r="E151" t="inlineStr">
        <is>
          <t>TIDAHOLM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49786-2023</t>
        </is>
      </c>
      <c r="B152" s="1" t="n">
        <v>45212</v>
      </c>
      <c r="C152" s="1" t="n">
        <v>46197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11444-2022</t>
        </is>
      </c>
      <c r="B153" s="1" t="n">
        <v>44630</v>
      </c>
      <c r="C153" s="1" t="n">
        <v>46197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693-2023</t>
        </is>
      </c>
      <c r="B154" s="1" t="n">
        <v>44930</v>
      </c>
      <c r="C154" s="1" t="n">
        <v>46197</v>
      </c>
      <c r="D154" t="inlineStr">
        <is>
          <t>VÄSTRA GÖTALANDS LÄN</t>
        </is>
      </c>
      <c r="E154" t="inlineStr">
        <is>
          <t>TIDAHOLM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43469-2025</t>
        </is>
      </c>
      <c r="B155" s="1" t="n">
        <v>45911</v>
      </c>
      <c r="C155" s="1" t="n">
        <v>46197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49159-2024</t>
        </is>
      </c>
      <c r="B156" s="1" t="n">
        <v>45594</v>
      </c>
      <c r="C156" s="1" t="n">
        <v>46197</v>
      </c>
      <c r="D156" t="inlineStr">
        <is>
          <t>VÄSTRA GÖTALANDS LÄN</t>
        </is>
      </c>
      <c r="E156" t="inlineStr">
        <is>
          <t>TIDAHOLM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33709-2025</t>
        </is>
      </c>
      <c r="B157" s="1" t="n">
        <v>45841</v>
      </c>
      <c r="C157" s="1" t="n">
        <v>46197</v>
      </c>
      <c r="D157" t="inlineStr">
        <is>
          <t>VÄSTRA GÖTALANDS LÄN</t>
        </is>
      </c>
      <c r="E157" t="inlineStr">
        <is>
          <t>TIDAHOLM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39015-2024</t>
        </is>
      </c>
      <c r="B158" s="1" t="n">
        <v>45548</v>
      </c>
      <c r="C158" s="1" t="n">
        <v>46197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43926-2025</t>
        </is>
      </c>
      <c r="B159" s="1" t="n">
        <v>45915</v>
      </c>
      <c r="C159" s="1" t="n">
        <v>46197</v>
      </c>
      <c r="D159" t="inlineStr">
        <is>
          <t>VÄSTRA GÖTALANDS LÄN</t>
        </is>
      </c>
      <c r="E159" t="inlineStr">
        <is>
          <t>TIDAHOLM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34391-2025</t>
        </is>
      </c>
      <c r="B160" s="1" t="n">
        <v>45846</v>
      </c>
      <c r="C160" s="1" t="n">
        <v>46197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19144-2023</t>
        </is>
      </c>
      <c r="B161" s="1" t="n">
        <v>45048</v>
      </c>
      <c r="C161" s="1" t="n">
        <v>46197</v>
      </c>
      <c r="D161" t="inlineStr">
        <is>
          <t>VÄSTRA GÖTALANDS LÄN</t>
        </is>
      </c>
      <c r="E161" t="inlineStr">
        <is>
          <t>TIDAHOLM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60287-2023</t>
        </is>
      </c>
      <c r="B162" s="1" t="n">
        <v>45258</v>
      </c>
      <c r="C162" s="1" t="n">
        <v>46197</v>
      </c>
      <c r="D162" t="inlineStr">
        <is>
          <t>VÄSTRA GÖTALANDS LÄN</t>
        </is>
      </c>
      <c r="E162" t="inlineStr">
        <is>
          <t>TIDAHOLM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28957-2025</t>
        </is>
      </c>
      <c r="B163" s="1" t="n">
        <v>45821</v>
      </c>
      <c r="C163" s="1" t="n">
        <v>46197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</v>
      </c>
      <c r="C164" s="1" t="n">
        <v>46197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1443-2025</t>
        </is>
      </c>
      <c r="B165" s="1" t="n">
        <v>45669</v>
      </c>
      <c r="C165" s="1" t="n">
        <v>46197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21170-2025</t>
        </is>
      </c>
      <c r="B166" s="1" t="n">
        <v>45779</v>
      </c>
      <c r="C166" s="1" t="n">
        <v>46197</v>
      </c>
      <c r="D166" t="inlineStr">
        <is>
          <t>VÄSTRA GÖTALANDS LÄN</t>
        </is>
      </c>
      <c r="E166" t="inlineStr">
        <is>
          <t>TIDAHOLM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14334-2025</t>
        </is>
      </c>
      <c r="B167" s="1" t="n">
        <v>45740</v>
      </c>
      <c r="C167" s="1" t="n">
        <v>46197</v>
      </c>
      <c r="D167" t="inlineStr">
        <is>
          <t>VÄSTRA GÖTALANDS LÄN</t>
        </is>
      </c>
      <c r="E167" t="inlineStr">
        <is>
          <t>TIDAHOLM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52876-2023</t>
        </is>
      </c>
      <c r="B168" s="1" t="n">
        <v>45226</v>
      </c>
      <c r="C168" s="1" t="n">
        <v>46197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3663-2026</t>
        </is>
      </c>
      <c r="B169" s="1" t="n">
        <v>46043</v>
      </c>
      <c r="C169" s="1" t="n">
        <v>46197</v>
      </c>
      <c r="D169" t="inlineStr">
        <is>
          <t>VÄSTRA GÖTALANDS LÄN</t>
        </is>
      </c>
      <c r="E169" t="inlineStr">
        <is>
          <t>TIDAHOLM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45170-2025</t>
        </is>
      </c>
      <c r="B170" s="1" t="n">
        <v>45919</v>
      </c>
      <c r="C170" s="1" t="n">
        <v>46197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24792-2024</t>
        </is>
      </c>
      <c r="B171" s="1" t="n">
        <v>45460</v>
      </c>
      <c r="C171" s="1" t="n">
        <v>46197</v>
      </c>
      <c r="D171" t="inlineStr">
        <is>
          <t>VÄSTRA GÖTALANDS LÄN</t>
        </is>
      </c>
      <c r="E171" t="inlineStr">
        <is>
          <t>TIDAHOLM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4057-2025</t>
        </is>
      </c>
      <c r="B172" s="1" t="n">
        <v>45684</v>
      </c>
      <c r="C172" s="1" t="n">
        <v>46197</v>
      </c>
      <c r="D172" t="inlineStr">
        <is>
          <t>VÄSTRA GÖTALANDS LÄN</t>
        </is>
      </c>
      <c r="E172" t="inlineStr">
        <is>
          <t>TIDAHOLM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7904-2025</t>
        </is>
      </c>
      <c r="B173" s="1" t="n">
        <v>45707</v>
      </c>
      <c r="C173" s="1" t="n">
        <v>46197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35388-2025</t>
        </is>
      </c>
      <c r="B174" s="1" t="n">
        <v>45855</v>
      </c>
      <c r="C174" s="1" t="n">
        <v>46197</v>
      </c>
      <c r="D174" t="inlineStr">
        <is>
          <t>VÄSTRA GÖTALANDS LÄN</t>
        </is>
      </c>
      <c r="E174" t="inlineStr">
        <is>
          <t>TIDAHOLM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27354-2024</t>
        </is>
      </c>
      <c r="B175" s="1" t="n">
        <v>45473</v>
      </c>
      <c r="C175" s="1" t="n">
        <v>46197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49865-2024</t>
        </is>
      </c>
      <c r="B176" s="1" t="n">
        <v>45596</v>
      </c>
      <c r="C176" s="1" t="n">
        <v>46197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47401-2025</t>
        </is>
      </c>
      <c r="B177" s="1" t="n">
        <v>45930</v>
      </c>
      <c r="C177" s="1" t="n">
        <v>46197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47370-2025</t>
        </is>
      </c>
      <c r="B178" s="1" t="n">
        <v>45930</v>
      </c>
      <c r="C178" s="1" t="n">
        <v>46197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35315-2025</t>
        </is>
      </c>
      <c r="B179" s="1" t="n">
        <v>45854</v>
      </c>
      <c r="C179" s="1" t="n">
        <v>46197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47397-2025</t>
        </is>
      </c>
      <c r="B180" s="1" t="n">
        <v>45930</v>
      </c>
      <c r="C180" s="1" t="n">
        <v>46197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47406-2025</t>
        </is>
      </c>
      <c r="B181" s="1" t="n">
        <v>45930</v>
      </c>
      <c r="C181" s="1" t="n">
        <v>46197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35795-2025</t>
        </is>
      </c>
      <c r="B182" s="1" t="n">
        <v>45861</v>
      </c>
      <c r="C182" s="1" t="n">
        <v>46197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47387-2025</t>
        </is>
      </c>
      <c r="B183" s="1" t="n">
        <v>45930</v>
      </c>
      <c r="C183" s="1" t="n">
        <v>46197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64394-2023</t>
        </is>
      </c>
      <c r="B184" s="1" t="n">
        <v>45280</v>
      </c>
      <c r="C184" s="1" t="n">
        <v>46197</v>
      </c>
      <c r="D184" t="inlineStr">
        <is>
          <t>VÄSTRA GÖTALANDS LÄN</t>
        </is>
      </c>
      <c r="E184" t="inlineStr">
        <is>
          <t>TIDAHOLM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8403-2024</t>
        </is>
      </c>
      <c r="B185" s="1" t="n">
        <v>45352</v>
      </c>
      <c r="C185" s="1" t="n">
        <v>46197</v>
      </c>
      <c r="D185" t="inlineStr">
        <is>
          <t>VÄSTRA GÖTALANDS LÄN</t>
        </is>
      </c>
      <c r="E185" t="inlineStr">
        <is>
          <t>TIDAHOLM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51287-2024</t>
        </is>
      </c>
      <c r="B186" s="1" t="n">
        <v>45603</v>
      </c>
      <c r="C186" s="1" t="n">
        <v>46197</v>
      </c>
      <c r="D186" t="inlineStr">
        <is>
          <t>VÄSTRA GÖTALANDS LÄN</t>
        </is>
      </c>
      <c r="E186" t="inlineStr">
        <is>
          <t>TIDAHOLM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51288-2024</t>
        </is>
      </c>
      <c r="B187" s="1" t="n">
        <v>45603</v>
      </c>
      <c r="C187" s="1" t="n">
        <v>46197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47518-2025</t>
        </is>
      </c>
      <c r="B188" s="1" t="n">
        <v>45931</v>
      </c>
      <c r="C188" s="1" t="n">
        <v>46197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46113-2024</t>
        </is>
      </c>
      <c r="B189" s="1" t="n">
        <v>45581</v>
      </c>
      <c r="C189" s="1" t="n">
        <v>46197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28495-2024</t>
        </is>
      </c>
      <c r="B190" s="1" t="n">
        <v>45477</v>
      </c>
      <c r="C190" s="1" t="n">
        <v>46197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14332-2025</t>
        </is>
      </c>
      <c r="B191" s="1" t="n">
        <v>45740</v>
      </c>
      <c r="C191" s="1" t="n">
        <v>46197</v>
      </c>
      <c r="D191" t="inlineStr">
        <is>
          <t>VÄSTRA GÖTALANDS LÄN</t>
        </is>
      </c>
      <c r="E191" t="inlineStr">
        <is>
          <t>TIDAHOLM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14907-2023</t>
        </is>
      </c>
      <c r="B192" s="1" t="n">
        <v>45013</v>
      </c>
      <c r="C192" s="1" t="n">
        <v>46197</v>
      </c>
      <c r="D192" t="inlineStr">
        <is>
          <t>VÄSTRA GÖTALANDS LÄN</t>
        </is>
      </c>
      <c r="E192" t="inlineStr">
        <is>
          <t>TIDAHOLM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46037-2024</t>
        </is>
      </c>
      <c r="B193" s="1" t="n">
        <v>45580</v>
      </c>
      <c r="C193" s="1" t="n">
        <v>46197</v>
      </c>
      <c r="D193" t="inlineStr">
        <is>
          <t>VÄSTRA GÖTALANDS LÄN</t>
        </is>
      </c>
      <c r="E193" t="inlineStr">
        <is>
          <t>TIDAHOLM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60549-2024</t>
        </is>
      </c>
      <c r="B194" s="1" t="n">
        <v>45643</v>
      </c>
      <c r="C194" s="1" t="n">
        <v>46197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48906-2025</t>
        </is>
      </c>
      <c r="B195" s="1" t="n">
        <v>45937</v>
      </c>
      <c r="C195" s="1" t="n">
        <v>46197</v>
      </c>
      <c r="D195" t="inlineStr">
        <is>
          <t>VÄSTRA GÖTALANDS LÄN</t>
        </is>
      </c>
      <c r="E195" t="inlineStr">
        <is>
          <t>TIDAHOLM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11598-2023</t>
        </is>
      </c>
      <c r="B196" s="1" t="n">
        <v>44994</v>
      </c>
      <c r="C196" s="1" t="n">
        <v>46197</v>
      </c>
      <c r="D196" t="inlineStr">
        <is>
          <t>VÄSTRA GÖTALANDS LÄN</t>
        </is>
      </c>
      <c r="E196" t="inlineStr">
        <is>
          <t>TIDAHOLM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7749-2023</t>
        </is>
      </c>
      <c r="B197" s="1" t="n">
        <v>44973</v>
      </c>
      <c r="C197" s="1" t="n">
        <v>46197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38119-2025</t>
        </is>
      </c>
      <c r="B198" s="1" t="n">
        <v>45882</v>
      </c>
      <c r="C198" s="1" t="n">
        <v>46197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Allmännings- och besparingsskogar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12551-2023</t>
        </is>
      </c>
      <c r="B199" s="1" t="n">
        <v>45000</v>
      </c>
      <c r="C199" s="1" t="n">
        <v>46197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26521-2024</t>
        </is>
      </c>
      <c r="B200" s="1" t="n">
        <v>45469</v>
      </c>
      <c r="C200" s="1" t="n">
        <v>46197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17339-2024</t>
        </is>
      </c>
      <c r="B201" s="1" t="n">
        <v>45414</v>
      </c>
      <c r="C201" s="1" t="n">
        <v>46197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27312-2023</t>
        </is>
      </c>
      <c r="B202" s="1" t="n">
        <v>45096</v>
      </c>
      <c r="C202" s="1" t="n">
        <v>46197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38659-2025</t>
        </is>
      </c>
      <c r="B203" s="1" t="n">
        <v>45884</v>
      </c>
      <c r="C203" s="1" t="n">
        <v>46197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49157-2024</t>
        </is>
      </c>
      <c r="B204" s="1" t="n">
        <v>45594</v>
      </c>
      <c r="C204" s="1" t="n">
        <v>46197</v>
      </c>
      <c r="D204" t="inlineStr">
        <is>
          <t>VÄSTRA GÖTALANDS LÄN</t>
        </is>
      </c>
      <c r="E204" t="inlineStr">
        <is>
          <t>TIDAHOLM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5754-2026</t>
        </is>
      </c>
      <c r="B205" s="1" t="n">
        <v>46051</v>
      </c>
      <c r="C205" s="1" t="n">
        <v>46197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52030-2024</t>
        </is>
      </c>
      <c r="B206" s="1" t="n">
        <v>45608</v>
      </c>
      <c r="C206" s="1" t="n">
        <v>46197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7497-2026</t>
        </is>
      </c>
      <c r="B207" s="1" t="n">
        <v>46059</v>
      </c>
      <c r="C207" s="1" t="n">
        <v>46197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57576-2024</t>
        </is>
      </c>
      <c r="B208" s="1" t="n">
        <v>45630</v>
      </c>
      <c r="C208" s="1" t="n">
        <v>46197</v>
      </c>
      <c r="D208" t="inlineStr">
        <is>
          <t>VÄSTRA GÖTALANDS LÄN</t>
        </is>
      </c>
      <c r="E208" t="inlineStr">
        <is>
          <t>TIDAHOLM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8163-2026</t>
        </is>
      </c>
      <c r="B209" s="1" t="n">
        <v>46064</v>
      </c>
      <c r="C209" s="1" t="n">
        <v>46197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Kommuner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36194-2024</t>
        </is>
      </c>
      <c r="B210" s="1" t="n">
        <v>45534</v>
      </c>
      <c r="C210" s="1" t="n">
        <v>46197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Allmännings- och besparingsskogar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42778-2023</t>
        </is>
      </c>
      <c r="B211" s="1" t="n">
        <v>45181</v>
      </c>
      <c r="C211" s="1" t="n">
        <v>46197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32591-2022</t>
        </is>
      </c>
      <c r="B212" s="1" t="n">
        <v>44783</v>
      </c>
      <c r="C212" s="1" t="n">
        <v>46197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54437-2025</t>
        </is>
      </c>
      <c r="B213" s="1" t="n">
        <v>45965</v>
      </c>
      <c r="C213" s="1" t="n">
        <v>46197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8545-2025</t>
        </is>
      </c>
      <c r="B214" s="1" t="n">
        <v>45709</v>
      </c>
      <c r="C214" s="1" t="n">
        <v>46197</v>
      </c>
      <c r="D214" t="inlineStr">
        <is>
          <t>VÄSTRA GÖTALANDS LÄN</t>
        </is>
      </c>
      <c r="E214" t="inlineStr">
        <is>
          <t>TIDAHOLM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54561-2025</t>
        </is>
      </c>
      <c r="B215" s="1" t="n">
        <v>45965</v>
      </c>
      <c r="C215" s="1" t="n">
        <v>46197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54922-2025</t>
        </is>
      </c>
      <c r="B216" s="1" t="n">
        <v>45967</v>
      </c>
      <c r="C216" s="1" t="n">
        <v>46197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54968-2025</t>
        </is>
      </c>
      <c r="B217" s="1" t="n">
        <v>45967</v>
      </c>
      <c r="C217" s="1" t="n">
        <v>46197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54941-2025</t>
        </is>
      </c>
      <c r="B218" s="1" t="n">
        <v>45967</v>
      </c>
      <c r="C218" s="1" t="n">
        <v>46197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54945-2025</t>
        </is>
      </c>
      <c r="B219" s="1" t="n">
        <v>45967</v>
      </c>
      <c r="C219" s="1" t="n">
        <v>46197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54927-2025</t>
        </is>
      </c>
      <c r="B220" s="1" t="n">
        <v>45967</v>
      </c>
      <c r="C220" s="1" t="n">
        <v>46197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54930-2025</t>
        </is>
      </c>
      <c r="B221" s="1" t="n">
        <v>45967</v>
      </c>
      <c r="C221" s="1" t="n">
        <v>46197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55243-2025</t>
        </is>
      </c>
      <c r="B222" s="1" t="n">
        <v>45968</v>
      </c>
      <c r="C222" s="1" t="n">
        <v>46197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54957-2025</t>
        </is>
      </c>
      <c r="B223" s="1" t="n">
        <v>45967</v>
      </c>
      <c r="C223" s="1" t="n">
        <v>46197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54974-2025</t>
        </is>
      </c>
      <c r="B224" s="1" t="n">
        <v>45967</v>
      </c>
      <c r="C224" s="1" t="n">
        <v>46197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54918-2025</t>
        </is>
      </c>
      <c r="B225" s="1" t="n">
        <v>45967</v>
      </c>
      <c r="C225" s="1" t="n">
        <v>46197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10909-2026</t>
        </is>
      </c>
      <c r="B226" s="1" t="n">
        <v>46079</v>
      </c>
      <c r="C226" s="1" t="n">
        <v>46197</v>
      </c>
      <c r="D226" t="inlineStr">
        <is>
          <t>VÄSTRA GÖTALANDS LÄN</t>
        </is>
      </c>
      <c r="E226" t="inlineStr">
        <is>
          <t>TIDAHOLM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57124-2025</t>
        </is>
      </c>
      <c r="B227" s="1" t="n">
        <v>45979</v>
      </c>
      <c r="C227" s="1" t="n">
        <v>46197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11291-2026</t>
        </is>
      </c>
      <c r="B228" s="1" t="n">
        <v>46080</v>
      </c>
      <c r="C228" s="1" t="n">
        <v>46197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57780-2025</t>
        </is>
      </c>
      <c r="B229" s="1" t="n">
        <v>45981</v>
      </c>
      <c r="C229" s="1" t="n">
        <v>46197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11296-2026</t>
        </is>
      </c>
      <c r="B230" s="1" t="n">
        <v>46080</v>
      </c>
      <c r="C230" s="1" t="n">
        <v>46197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11684-2026</t>
        </is>
      </c>
      <c r="B231" s="1" t="n">
        <v>46084</v>
      </c>
      <c r="C231" s="1" t="n">
        <v>46197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11717-2026</t>
        </is>
      </c>
      <c r="B232" s="1" t="n">
        <v>46084</v>
      </c>
      <c r="C232" s="1" t="n">
        <v>46197</v>
      </c>
      <c r="D232" t="inlineStr">
        <is>
          <t>VÄSTRA GÖTALANDS LÄN</t>
        </is>
      </c>
      <c r="E232" t="inlineStr">
        <is>
          <t>TIDAHOLM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58276-2025</t>
        </is>
      </c>
      <c r="B233" s="1" t="n">
        <v>45985</v>
      </c>
      <c r="C233" s="1" t="n">
        <v>46197</v>
      </c>
      <c r="D233" t="inlineStr">
        <is>
          <t>VÄSTRA GÖTALANDS LÄN</t>
        </is>
      </c>
      <c r="E233" t="inlineStr">
        <is>
          <t>TIDAHOLM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39315-2022</t>
        </is>
      </c>
      <c r="B234" s="1" t="n">
        <v>44817</v>
      </c>
      <c r="C234" s="1" t="n">
        <v>46197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11622-2026</t>
        </is>
      </c>
      <c r="B235" s="1" t="n">
        <v>46084</v>
      </c>
      <c r="C235" s="1" t="n">
        <v>46197</v>
      </c>
      <c r="D235" t="inlineStr">
        <is>
          <t>VÄSTRA GÖTALANDS LÄN</t>
        </is>
      </c>
      <c r="E235" t="inlineStr">
        <is>
          <t>TIDAHOLM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22084-2024</t>
        </is>
      </c>
      <c r="B236" s="1" t="n">
        <v>45443</v>
      </c>
      <c r="C236" s="1" t="n">
        <v>46197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2658-2022</t>
        </is>
      </c>
      <c r="B237" s="1" t="n">
        <v>44580</v>
      </c>
      <c r="C237" s="1" t="n">
        <v>46197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15090-2025</t>
        </is>
      </c>
      <c r="B238" s="1" t="n">
        <v>45744</v>
      </c>
      <c r="C238" s="1" t="n">
        <v>46197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12525-2026</t>
        </is>
      </c>
      <c r="B239" s="1" t="n">
        <v>46090</v>
      </c>
      <c r="C239" s="1" t="n">
        <v>46197</v>
      </c>
      <c r="D239" t="inlineStr">
        <is>
          <t>VÄSTRA GÖTALANDS LÄN</t>
        </is>
      </c>
      <c r="E239" t="inlineStr">
        <is>
          <t>TIDAHOLM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51909-2025</t>
        </is>
      </c>
      <c r="B240" s="1" t="n">
        <v>45951</v>
      </c>
      <c r="C240" s="1" t="n">
        <v>46197</v>
      </c>
      <c r="D240" t="inlineStr">
        <is>
          <t>VÄSTRA GÖTALANDS LÄN</t>
        </is>
      </c>
      <c r="E240" t="inlineStr">
        <is>
          <t>TIDAHOLM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69446-2021</t>
        </is>
      </c>
      <c r="B241" s="1" t="n">
        <v>44531</v>
      </c>
      <c r="C241" s="1" t="n">
        <v>46197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62329-2025</t>
        </is>
      </c>
      <c r="B242" s="1" t="n">
        <v>46006</v>
      </c>
      <c r="C242" s="1" t="n">
        <v>46197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74340-2021</t>
        </is>
      </c>
      <c r="B243" s="1" t="n">
        <v>44559</v>
      </c>
      <c r="C243" s="1" t="n">
        <v>46197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14099-2026</t>
        </is>
      </c>
      <c r="B244" s="1" t="n">
        <v>46099</v>
      </c>
      <c r="C244" s="1" t="n">
        <v>46197</v>
      </c>
      <c r="D244" t="inlineStr">
        <is>
          <t>VÄSTRA GÖTALANDS LÄN</t>
        </is>
      </c>
      <c r="E244" t="inlineStr">
        <is>
          <t>TIDAHOLM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22455-2023</t>
        </is>
      </c>
      <c r="B245" s="1" t="n">
        <v>45070</v>
      </c>
      <c r="C245" s="1" t="n">
        <v>46197</v>
      </c>
      <c r="D245" t="inlineStr">
        <is>
          <t>VÄSTRA GÖTALANDS LÄN</t>
        </is>
      </c>
      <c r="E245" t="inlineStr">
        <is>
          <t>TIDAHOLM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50294-2022</t>
        </is>
      </c>
      <c r="B246" s="1" t="n">
        <v>44865</v>
      </c>
      <c r="C246" s="1" t="n">
        <v>46197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57962-2022</t>
        </is>
      </c>
      <c r="B247" s="1" t="n">
        <v>44900</v>
      </c>
      <c r="C247" s="1" t="n">
        <v>46197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16382-2023</t>
        </is>
      </c>
      <c r="B248" s="1" t="n">
        <v>45029</v>
      </c>
      <c r="C248" s="1" t="n">
        <v>46197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39570-2023</t>
        </is>
      </c>
      <c r="B249" s="1" t="n">
        <v>45167</v>
      </c>
      <c r="C249" s="1" t="n">
        <v>46197</v>
      </c>
      <c r="D249" t="inlineStr">
        <is>
          <t>VÄSTRA GÖTALANDS LÄN</t>
        </is>
      </c>
      <c r="E249" t="inlineStr">
        <is>
          <t>TIDAHOLM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63679-2025</t>
        </is>
      </c>
      <c r="B250" s="1" t="n">
        <v>46014</v>
      </c>
      <c r="C250" s="1" t="n">
        <v>46197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49300-2021</t>
        </is>
      </c>
      <c r="B251" s="1" t="n">
        <v>44454</v>
      </c>
      <c r="C251" s="1" t="n">
        <v>46197</v>
      </c>
      <c r="D251" t="inlineStr">
        <is>
          <t>VÄSTRA GÖTALANDS LÄN</t>
        </is>
      </c>
      <c r="E251" t="inlineStr">
        <is>
          <t>TIDAHOLM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63482-2025</t>
        </is>
      </c>
      <c r="B252" s="1" t="n">
        <v>46013</v>
      </c>
      <c r="C252" s="1" t="n">
        <v>46197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58988-2022</t>
        </is>
      </c>
      <c r="B253" s="1" t="n">
        <v>44903</v>
      </c>
      <c r="C253" s="1" t="n">
        <v>46197</v>
      </c>
      <c r="D253" t="inlineStr">
        <is>
          <t>VÄSTRA GÖTALANDS LÄN</t>
        </is>
      </c>
      <c r="E253" t="inlineStr">
        <is>
          <t>TIDAHOLM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451-2026</t>
        </is>
      </c>
      <c r="B254" s="1" t="n">
        <v>46021</v>
      </c>
      <c r="C254" s="1" t="n">
        <v>46197</v>
      </c>
      <c r="D254" t="inlineStr">
        <is>
          <t>VÄSTRA GÖTALANDS LÄN</t>
        </is>
      </c>
      <c r="E254" t="inlineStr">
        <is>
          <t>TIDAHOLM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15268-2026</t>
        </is>
      </c>
      <c r="B255" s="1" t="n">
        <v>46105</v>
      </c>
      <c r="C255" s="1" t="n">
        <v>46197</v>
      </c>
      <c r="D255" t="inlineStr">
        <is>
          <t>VÄSTRA GÖTALANDS LÄN</t>
        </is>
      </c>
      <c r="E255" t="inlineStr">
        <is>
          <t>TIDAHOLM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15284-2026</t>
        </is>
      </c>
      <c r="B256" s="1" t="n">
        <v>46105</v>
      </c>
      <c r="C256" s="1" t="n">
        <v>46197</v>
      </c>
      <c r="D256" t="inlineStr">
        <is>
          <t>VÄSTRA GÖTALANDS LÄN</t>
        </is>
      </c>
      <c r="E256" t="inlineStr">
        <is>
          <t>TIDAHOLM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30675-2024</t>
        </is>
      </c>
      <c r="B257" s="1" t="n">
        <v>45495</v>
      </c>
      <c r="C257" s="1" t="n">
        <v>46197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30677-2024</t>
        </is>
      </c>
      <c r="B258" s="1" t="n">
        <v>45495</v>
      </c>
      <c r="C258" s="1" t="n">
        <v>46197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9631-2024</t>
        </is>
      </c>
      <c r="B259" s="1" t="n">
        <v>45362</v>
      </c>
      <c r="C259" s="1" t="n">
        <v>46197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28671-2023</t>
        </is>
      </c>
      <c r="B260" s="1" t="n">
        <v>45103</v>
      </c>
      <c r="C260" s="1" t="n">
        <v>46197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28684-2023</t>
        </is>
      </c>
      <c r="B261" s="1" t="n">
        <v>45103</v>
      </c>
      <c r="C261" s="1" t="n">
        <v>46197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16261-2026</t>
        </is>
      </c>
      <c r="B262" s="1" t="n">
        <v>46111</v>
      </c>
      <c r="C262" s="1" t="n">
        <v>46197</v>
      </c>
      <c r="D262" t="inlineStr">
        <is>
          <t>VÄSTRA GÖTALANDS LÄN</t>
        </is>
      </c>
      <c r="E262" t="inlineStr">
        <is>
          <t>TIDAHOLM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61362-2022</t>
        </is>
      </c>
      <c r="B263" s="1" t="n">
        <v>44915</v>
      </c>
      <c r="C263" s="1" t="n">
        <v>46197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14140-2024</t>
        </is>
      </c>
      <c r="B264" s="1" t="n">
        <v>45392</v>
      </c>
      <c r="C264" s="1" t="n">
        <v>46197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17083-2026</t>
        </is>
      </c>
      <c r="B265" s="1" t="n">
        <v>46114</v>
      </c>
      <c r="C265" s="1" t="n">
        <v>46197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62059-2023</t>
        </is>
      </c>
      <c r="B266" s="1" t="n">
        <v>45266</v>
      </c>
      <c r="C266" s="1" t="n">
        <v>46197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42338-2022</t>
        </is>
      </c>
      <c r="B267" s="1" t="n">
        <v>44831</v>
      </c>
      <c r="C267" s="1" t="n">
        <v>46197</v>
      </c>
      <c r="D267" t="inlineStr">
        <is>
          <t>VÄSTRA GÖTALANDS LÄN</t>
        </is>
      </c>
      <c r="E267" t="inlineStr">
        <is>
          <t>TIDAHOLM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13588-2023</t>
        </is>
      </c>
      <c r="B268" s="1" t="n">
        <v>45006</v>
      </c>
      <c r="C268" s="1" t="n">
        <v>46197</v>
      </c>
      <c r="D268" t="inlineStr">
        <is>
          <t>VÄSTRA GÖTALANDS LÄN</t>
        </is>
      </c>
      <c r="E268" t="inlineStr">
        <is>
          <t>TIDAHOLM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45276-2024</t>
        </is>
      </c>
      <c r="B269" s="1" t="n">
        <v>45576</v>
      </c>
      <c r="C269" s="1" t="n">
        <v>46197</v>
      </c>
      <c r="D269" t="inlineStr">
        <is>
          <t>VÄSTRA GÖTALANDS LÄN</t>
        </is>
      </c>
      <c r="E269" t="inlineStr">
        <is>
          <t>TIDAHOLM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17968-2026</t>
        </is>
      </c>
      <c r="B270" s="1" t="n">
        <v>46123</v>
      </c>
      <c r="C270" s="1" t="n">
        <v>46197</v>
      </c>
      <c r="D270" t="inlineStr">
        <is>
          <t>VÄSTRA GÖTALANDS LÄN</t>
        </is>
      </c>
      <c r="E270" t="inlineStr">
        <is>
          <t>TIDAHOLM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11696-2024</t>
        </is>
      </c>
      <c r="B271" s="1" t="n">
        <v>45373</v>
      </c>
      <c r="C271" s="1" t="n">
        <v>46197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52036-2024</t>
        </is>
      </c>
      <c r="B272" s="1" t="n">
        <v>45608</v>
      </c>
      <c r="C272" s="1" t="n">
        <v>46197</v>
      </c>
      <c r="D272" t="inlineStr">
        <is>
          <t>VÄSTRA GÖTALANDS LÄN</t>
        </is>
      </c>
      <c r="E272" t="inlineStr">
        <is>
          <t>TIDAHOLM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72683-2021</t>
        </is>
      </c>
      <c r="B273" s="1" t="n">
        <v>44546</v>
      </c>
      <c r="C273" s="1" t="n">
        <v>46197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29288-2023</t>
        </is>
      </c>
      <c r="B274" s="1" t="n">
        <v>45105</v>
      </c>
      <c r="C274" s="1" t="n">
        <v>46197</v>
      </c>
      <c r="D274" t="inlineStr">
        <is>
          <t>VÄSTRA GÖTALANDS LÄN</t>
        </is>
      </c>
      <c r="E274" t="inlineStr">
        <is>
          <t>TIDAHOLM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55780-2021</t>
        </is>
      </c>
      <c r="B275" s="1" t="n">
        <v>44476</v>
      </c>
      <c r="C275" s="1" t="n">
        <v>46197</v>
      </c>
      <c r="D275" t="inlineStr">
        <is>
          <t>VÄSTRA GÖTALANDS LÄN</t>
        </is>
      </c>
      <c r="E275" t="inlineStr">
        <is>
          <t>TIDAHOLM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32439-2023</t>
        </is>
      </c>
      <c r="B276" s="1" t="n">
        <v>45120</v>
      </c>
      <c r="C276" s="1" t="n">
        <v>46197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27270-2023</t>
        </is>
      </c>
      <c r="B277" s="1" t="n">
        <v>45096</v>
      </c>
      <c r="C277" s="1" t="n">
        <v>46197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22086-2024</t>
        </is>
      </c>
      <c r="B278" s="1" t="n">
        <v>45443</v>
      </c>
      <c r="C278" s="1" t="n">
        <v>46197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18911-2026</t>
        </is>
      </c>
      <c r="B279" s="1" t="n">
        <v>46129</v>
      </c>
      <c r="C279" s="1" t="n">
        <v>46197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26534-2024</t>
        </is>
      </c>
      <c r="B280" s="1" t="n">
        <v>45469</v>
      </c>
      <c r="C280" s="1" t="n">
        <v>46197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26548-2024</t>
        </is>
      </c>
      <c r="B281" s="1" t="n">
        <v>45469</v>
      </c>
      <c r="C281" s="1" t="n">
        <v>46197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37179-2023</t>
        </is>
      </c>
      <c r="B282" s="1" t="n">
        <v>45155</v>
      </c>
      <c r="C282" s="1" t="n">
        <v>46197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19038-2023</t>
        </is>
      </c>
      <c r="B283" s="1" t="n">
        <v>45047</v>
      </c>
      <c r="C283" s="1" t="n">
        <v>46197</v>
      </c>
      <c r="D283" t="inlineStr">
        <is>
          <t>VÄSTRA GÖTALANDS LÄN</t>
        </is>
      </c>
      <c r="E283" t="inlineStr">
        <is>
          <t>TIDAHOLM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17670-2025</t>
        </is>
      </c>
      <c r="B284" s="1" t="n">
        <v>45758</v>
      </c>
      <c r="C284" s="1" t="n">
        <v>46197</v>
      </c>
      <c r="D284" t="inlineStr">
        <is>
          <t>VÄSTRA GÖTALANDS LÄN</t>
        </is>
      </c>
      <c r="E284" t="inlineStr">
        <is>
          <t>TIDAHOLM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19028-2026</t>
        </is>
      </c>
      <c r="B285" s="1" t="n">
        <v>46131</v>
      </c>
      <c r="C285" s="1" t="n">
        <v>46197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1442-2025</t>
        </is>
      </c>
      <c r="B286" s="1" t="n">
        <v>45669</v>
      </c>
      <c r="C286" s="1" t="n">
        <v>46197</v>
      </c>
      <c r="D286" t="inlineStr">
        <is>
          <t>VÄSTRA GÖTALANDS LÄN</t>
        </is>
      </c>
      <c r="E286" t="inlineStr">
        <is>
          <t>TIDAHOLM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39297-2022</t>
        </is>
      </c>
      <c r="B287" s="1" t="n">
        <v>44817</v>
      </c>
      <c r="C287" s="1" t="n">
        <v>46197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57573-2024</t>
        </is>
      </c>
      <c r="B288" s="1" t="n">
        <v>45630</v>
      </c>
      <c r="C288" s="1" t="n">
        <v>46197</v>
      </c>
      <c r="D288" t="inlineStr">
        <is>
          <t>VÄSTRA GÖTALANDS LÄN</t>
        </is>
      </c>
      <c r="E288" t="inlineStr">
        <is>
          <t>TIDAHOLM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25263-2026</t>
        </is>
      </c>
      <c r="B289" s="1" t="n">
        <v>46175</v>
      </c>
      <c r="C289" s="1" t="n">
        <v>46197</v>
      </c>
      <c r="D289" t="inlineStr">
        <is>
          <t>VÄSTRA GÖTALANDS LÄN</t>
        </is>
      </c>
      <c r="E289" t="inlineStr">
        <is>
          <t>TIDAHOLM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25260-2026</t>
        </is>
      </c>
      <c r="B290" s="1" t="n">
        <v>46175</v>
      </c>
      <c r="C290" s="1" t="n">
        <v>46197</v>
      </c>
      <c r="D290" t="inlineStr">
        <is>
          <t>VÄSTRA GÖTALANDS LÄN</t>
        </is>
      </c>
      <c r="E290" t="inlineStr">
        <is>
          <t>TIDAHOLM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25261-2026</t>
        </is>
      </c>
      <c r="B291" s="1" t="n">
        <v>46175</v>
      </c>
      <c r="C291" s="1" t="n">
        <v>46197</v>
      </c>
      <c r="D291" t="inlineStr">
        <is>
          <t>VÄSTRA GÖTALANDS LÄN</t>
        </is>
      </c>
      <c r="E291" t="inlineStr">
        <is>
          <t>TIDAHOLM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56756-2024</t>
        </is>
      </c>
      <c r="B292" s="1" t="n">
        <v>45628</v>
      </c>
      <c r="C292" s="1" t="n">
        <v>46197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</v>
      </c>
      <c r="C293" s="1" t="n">
        <v>46197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62121-2023</t>
        </is>
      </c>
      <c r="B294" s="1" t="n">
        <v>45267</v>
      </c>
      <c r="C294" s="1" t="n">
        <v>46197</v>
      </c>
      <c r="D294" t="inlineStr">
        <is>
          <t>VÄSTRA GÖTALANDS LÄN</t>
        </is>
      </c>
      <c r="E294" t="inlineStr">
        <is>
          <t>TIDAHOLM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25665-2026</t>
        </is>
      </c>
      <c r="B295" s="1" t="n">
        <v>46178</v>
      </c>
      <c r="C295" s="1" t="n">
        <v>46197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16651-2023</t>
        </is>
      </c>
      <c r="B296" s="1" t="n">
        <v>45030</v>
      </c>
      <c r="C296" s="1" t="n">
        <v>46197</v>
      </c>
      <c r="D296" t="inlineStr">
        <is>
          <t>VÄSTRA GÖTALANDS LÄN</t>
        </is>
      </c>
      <c r="E296" t="inlineStr">
        <is>
          <t>TIDAHOLM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47912-2023</t>
        </is>
      </c>
      <c r="B297" s="1" t="n">
        <v>45204</v>
      </c>
      <c r="C297" s="1" t="n">
        <v>46197</v>
      </c>
      <c r="D297" t="inlineStr">
        <is>
          <t>VÄSTRA GÖTALANDS LÄN</t>
        </is>
      </c>
      <c r="E297" t="inlineStr">
        <is>
          <t>TIDAHOLM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37077-2025</t>
        </is>
      </c>
      <c r="B298" s="1" t="n">
        <v>45875</v>
      </c>
      <c r="C298" s="1" t="n">
        <v>46197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49155-2024</t>
        </is>
      </c>
      <c r="B299" s="1" t="n">
        <v>45594</v>
      </c>
      <c r="C299" s="1" t="n">
        <v>46197</v>
      </c>
      <c r="D299" t="inlineStr">
        <is>
          <t>VÄSTRA GÖTALANDS LÄN</t>
        </is>
      </c>
      <c r="E299" t="inlineStr">
        <is>
          <t>TIDAHOLM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8724-2024</t>
        </is>
      </c>
      <c r="B300" s="1" t="n">
        <v>45356</v>
      </c>
      <c r="C300" s="1" t="n">
        <v>46197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48116-2023</t>
        </is>
      </c>
      <c r="B301" s="1" t="n">
        <v>45205</v>
      </c>
      <c r="C301" s="1" t="n">
        <v>46197</v>
      </c>
      <c r="D301" t="inlineStr">
        <is>
          <t>VÄSTRA GÖTALANDS LÄN</t>
        </is>
      </c>
      <c r="E301" t="inlineStr">
        <is>
          <t>TIDAHOLM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54122-2023</t>
        </is>
      </c>
      <c r="B302" s="1" t="n">
        <v>45232</v>
      </c>
      <c r="C302" s="1" t="n">
        <v>46197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22.5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10273-2022</t>
        </is>
      </c>
      <c r="B303" s="1" t="n">
        <v>44622</v>
      </c>
      <c r="C303" s="1" t="n">
        <v>46197</v>
      </c>
      <c r="D303" t="inlineStr">
        <is>
          <t>VÄSTRA GÖTALANDS LÄN</t>
        </is>
      </c>
      <c r="E303" t="inlineStr">
        <is>
          <t>TIDAHOLM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8373-2022</t>
        </is>
      </c>
      <c r="B304" s="1" t="n">
        <v>44610</v>
      </c>
      <c r="C304" s="1" t="n">
        <v>46197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56013-2024</t>
        </is>
      </c>
      <c r="B305" s="1" t="n">
        <v>45623</v>
      </c>
      <c r="C305" s="1" t="n">
        <v>46197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43922-2023</t>
        </is>
      </c>
      <c r="B306" s="1" t="n">
        <v>45187</v>
      </c>
      <c r="C306" s="1" t="n">
        <v>46197</v>
      </c>
      <c r="D306" t="inlineStr">
        <is>
          <t>VÄSTRA GÖTALANDS LÄN</t>
        </is>
      </c>
      <c r="E306" t="inlineStr">
        <is>
          <t>TIDAHOLM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46197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45165-2025</t>
        </is>
      </c>
      <c r="B308" s="1" t="n">
        <v>45919</v>
      </c>
      <c r="C308" s="1" t="n">
        <v>46197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25826-2023</t>
        </is>
      </c>
      <c r="B309" s="1" t="n">
        <v>45090</v>
      </c>
      <c r="C309" s="1" t="n">
        <v>46197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59140-2024</t>
        </is>
      </c>
      <c r="B310" s="1" t="n">
        <v>45637</v>
      </c>
      <c r="C310" s="1" t="n">
        <v>46197</v>
      </c>
      <c r="D310" t="inlineStr">
        <is>
          <t>VÄSTRA GÖTALANDS LÄN</t>
        </is>
      </c>
      <c r="E310" t="inlineStr">
        <is>
          <t>TIDAHOLM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54298-2023</t>
        </is>
      </c>
      <c r="B311" s="1" t="n">
        <v>45232</v>
      </c>
      <c r="C311" s="1" t="n">
        <v>46197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35725-2023</t>
        </is>
      </c>
      <c r="B312" s="1" t="n">
        <v>45147</v>
      </c>
      <c r="C312" s="1" t="n">
        <v>46197</v>
      </c>
      <c r="D312" t="inlineStr">
        <is>
          <t>VÄSTRA GÖTALANDS LÄN</t>
        </is>
      </c>
      <c r="E312" t="inlineStr">
        <is>
          <t>TIDAHOLM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19572-2022</t>
        </is>
      </c>
      <c r="B313" s="1" t="n">
        <v>44693</v>
      </c>
      <c r="C313" s="1" t="n">
        <v>46197</v>
      </c>
      <c r="D313" t="inlineStr">
        <is>
          <t>VÄSTRA GÖTALANDS LÄN</t>
        </is>
      </c>
      <c r="E313" t="inlineStr">
        <is>
          <t>TIDAHOLM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12026-2022</t>
        </is>
      </c>
      <c r="B314" s="1" t="n">
        <v>44636</v>
      </c>
      <c r="C314" s="1" t="n">
        <v>46197</v>
      </c>
      <c r="D314" t="inlineStr">
        <is>
          <t>VÄSTRA GÖTALANDS LÄN</t>
        </is>
      </c>
      <c r="E314" t="inlineStr">
        <is>
          <t>TIDAHOLM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17826-2025</t>
        </is>
      </c>
      <c r="B315" s="1" t="n">
        <v>45758</v>
      </c>
      <c r="C315" s="1" t="n">
        <v>46197</v>
      </c>
      <c r="D315" t="inlineStr">
        <is>
          <t>VÄSTRA GÖTALANDS LÄN</t>
        </is>
      </c>
      <c r="E315" t="inlineStr">
        <is>
          <t>TIDAHOLM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9236-2024</t>
        </is>
      </c>
      <c r="B316" s="1" t="n">
        <v>45358</v>
      </c>
      <c r="C316" s="1" t="n">
        <v>46197</v>
      </c>
      <c r="D316" t="inlineStr">
        <is>
          <t>VÄSTRA GÖTALANDS LÄN</t>
        </is>
      </c>
      <c r="E316" t="inlineStr">
        <is>
          <t>TIDAHOLM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60353-2023</t>
        </is>
      </c>
      <c r="B317" s="1" t="n">
        <v>45257</v>
      </c>
      <c r="C317" s="1" t="n">
        <v>46197</v>
      </c>
      <c r="D317" t="inlineStr">
        <is>
          <t>VÄSTRA GÖTALANDS LÄN</t>
        </is>
      </c>
      <c r="E317" t="inlineStr">
        <is>
          <t>TIDAHOLM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26123-2026</t>
        </is>
      </c>
      <c r="B318" s="1" t="n">
        <v>46181</v>
      </c>
      <c r="C318" s="1" t="n">
        <v>46197</v>
      </c>
      <c r="D318" t="inlineStr">
        <is>
          <t>VÄSTRA GÖTALANDS LÄN</t>
        </is>
      </c>
      <c r="E318" t="inlineStr">
        <is>
          <t>TIDAHOLM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50078-2023</t>
        </is>
      </c>
      <c r="B319" s="1" t="n">
        <v>45215</v>
      </c>
      <c r="C319" s="1" t="n">
        <v>46197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34842-2024</t>
        </is>
      </c>
      <c r="B320" s="1" t="n">
        <v>45526</v>
      </c>
      <c r="C320" s="1" t="n">
        <v>46197</v>
      </c>
      <c r="D320" t="inlineStr">
        <is>
          <t>VÄSTRA GÖTALANDS LÄN</t>
        </is>
      </c>
      <c r="E320" t="inlineStr">
        <is>
          <t>TIDAHOLM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21900-2025</t>
        </is>
      </c>
      <c r="B321" s="1" t="n">
        <v>45784</v>
      </c>
      <c r="C321" s="1" t="n">
        <v>46197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23283-2022</t>
        </is>
      </c>
      <c r="B322" s="1" t="n">
        <v>44720</v>
      </c>
      <c r="C322" s="1" t="n">
        <v>46197</v>
      </c>
      <c r="D322" t="inlineStr">
        <is>
          <t>VÄSTRA GÖTALANDS LÄN</t>
        </is>
      </c>
      <c r="E322" t="inlineStr">
        <is>
          <t>TIDAHOLM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18249-2022</t>
        </is>
      </c>
      <c r="B323" s="1" t="n">
        <v>44685</v>
      </c>
      <c r="C323" s="1" t="n">
        <v>46197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22963-2025</t>
        </is>
      </c>
      <c r="B324" s="1" t="n">
        <v>45790</v>
      </c>
      <c r="C324" s="1" t="n">
        <v>46197</v>
      </c>
      <c r="D324" t="inlineStr">
        <is>
          <t>VÄSTRA GÖTALANDS LÄN</t>
        </is>
      </c>
      <c r="E324" t="inlineStr">
        <is>
          <t>TIDAHOLM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16575-2025</t>
        </is>
      </c>
      <c r="B325" s="1" t="n">
        <v>45752</v>
      </c>
      <c r="C325" s="1" t="n">
        <v>46197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23353-2022</t>
        </is>
      </c>
      <c r="B326" s="1" t="n">
        <v>44720</v>
      </c>
      <c r="C326" s="1" t="n">
        <v>46197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43464-2025</t>
        </is>
      </c>
      <c r="B327" s="1" t="n">
        <v>45911</v>
      </c>
      <c r="C327" s="1" t="n">
        <v>46197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21285-2025</t>
        </is>
      </c>
      <c r="B328" s="1" t="n">
        <v>45779</v>
      </c>
      <c r="C328" s="1" t="n">
        <v>46197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26017-2026</t>
        </is>
      </c>
      <c r="B329" s="1" t="n">
        <v>46181</v>
      </c>
      <c r="C329" s="1" t="n">
        <v>46197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9247-2025</t>
        </is>
      </c>
      <c r="B330" s="1" t="n">
        <v>45714</v>
      </c>
      <c r="C330" s="1" t="n">
        <v>46197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61756-2023</t>
        </is>
      </c>
      <c r="B331" s="1" t="n">
        <v>45265</v>
      </c>
      <c r="C331" s="1" t="n">
        <v>46197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61757-2023</t>
        </is>
      </c>
      <c r="B332" s="1" t="n">
        <v>45265</v>
      </c>
      <c r="C332" s="1" t="n">
        <v>46197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25978-2026</t>
        </is>
      </c>
      <c r="B333" s="1" t="n">
        <v>46181</v>
      </c>
      <c r="C333" s="1" t="n">
        <v>46197</v>
      </c>
      <c r="D333" t="inlineStr">
        <is>
          <t>VÄSTRA GÖTALANDS LÄN</t>
        </is>
      </c>
      <c r="E333" t="inlineStr">
        <is>
          <t>TIDAHOLM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2830-2024</t>
        </is>
      </c>
      <c r="B334" s="1" t="n">
        <v>45314</v>
      </c>
      <c r="C334" s="1" t="n">
        <v>46197</v>
      </c>
      <c r="D334" t="inlineStr">
        <is>
          <t>VÄSTRA GÖTALANDS LÄN</t>
        </is>
      </c>
      <c r="E334" t="inlineStr">
        <is>
          <t>TIDAHOLM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7766-2023</t>
        </is>
      </c>
      <c r="B335" s="1" t="n">
        <v>44973</v>
      </c>
      <c r="C335" s="1" t="n">
        <v>46197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5997-2024</t>
        </is>
      </c>
      <c r="B336" s="1" t="n">
        <v>45336</v>
      </c>
      <c r="C336" s="1" t="n">
        <v>46197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37070-2022</t>
        </is>
      </c>
      <c r="B337" s="1" t="n">
        <v>44806</v>
      </c>
      <c r="C337" s="1" t="n">
        <v>46197</v>
      </c>
      <c r="D337" t="inlineStr">
        <is>
          <t>VÄSTRA GÖTALANDS LÄN</t>
        </is>
      </c>
      <c r="E337" t="inlineStr">
        <is>
          <t>TIDAHOLM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</v>
      </c>
      <c r="C338" s="1" t="n">
        <v>46197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55479-2023</t>
        </is>
      </c>
      <c r="B339" s="1" t="n">
        <v>45238</v>
      </c>
      <c r="C339" s="1" t="n">
        <v>46197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64874-2023</t>
        </is>
      </c>
      <c r="B340" s="1" t="n">
        <v>45282</v>
      </c>
      <c r="C340" s="1" t="n">
        <v>46197</v>
      </c>
      <c r="D340" t="inlineStr">
        <is>
          <t>VÄSTRA GÖTALANDS LÄN</t>
        </is>
      </c>
      <c r="E340" t="inlineStr">
        <is>
          <t>TIDAHOLM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37934-2023</t>
        </is>
      </c>
      <c r="B341" s="1" t="n">
        <v>45160</v>
      </c>
      <c r="C341" s="1" t="n">
        <v>46197</v>
      </c>
      <c r="D341" t="inlineStr">
        <is>
          <t>VÄSTRA GÖTALANDS LÄN</t>
        </is>
      </c>
      <c r="E341" t="inlineStr">
        <is>
          <t>TIDAHOLM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9949-2023</t>
        </is>
      </c>
      <c r="B342" s="1" t="n">
        <v>44985</v>
      </c>
      <c r="C342" s="1" t="n">
        <v>46197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59460-2022</t>
        </is>
      </c>
      <c r="B343" s="1" t="n">
        <v>44907</v>
      </c>
      <c r="C343" s="1" t="n">
        <v>46197</v>
      </c>
      <c r="D343" t="inlineStr">
        <is>
          <t>VÄSTRA GÖTALANDS LÄN</t>
        </is>
      </c>
      <c r="E343" t="inlineStr">
        <is>
          <t>TIDAHOLM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57969-2022</t>
        </is>
      </c>
      <c r="B344" s="1" t="n">
        <v>44900</v>
      </c>
      <c r="C344" s="1" t="n">
        <v>46197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26525-2024</t>
        </is>
      </c>
      <c r="B345" s="1" t="n">
        <v>45469</v>
      </c>
      <c r="C345" s="1" t="n">
        <v>46197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26532-2024</t>
        </is>
      </c>
      <c r="B346" s="1" t="n">
        <v>45469</v>
      </c>
      <c r="C346" s="1" t="n">
        <v>46197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27860-2026</t>
        </is>
      </c>
      <c r="B347" s="1" t="n">
        <v>46191</v>
      </c>
      <c r="C347" s="1" t="n">
        <v>46197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22022-2026</t>
        </is>
      </c>
      <c r="B348" s="1" t="n">
        <v>46153</v>
      </c>
      <c r="C348" s="1" t="n">
        <v>46197</v>
      </c>
      <c r="D348" t="inlineStr">
        <is>
          <t>VÄSTRA GÖTALANDS LÄN</t>
        </is>
      </c>
      <c r="E348" t="inlineStr">
        <is>
          <t>TIDAHOLM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73728-2021</t>
        </is>
      </c>
      <c r="B349" s="1" t="n">
        <v>44552</v>
      </c>
      <c r="C349" s="1" t="n">
        <v>46197</v>
      </c>
      <c r="D349" t="inlineStr">
        <is>
          <t>VÄSTRA GÖTALANDS LÄN</t>
        </is>
      </c>
      <c r="E349" t="inlineStr">
        <is>
          <t>TIDAHOLM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61587-2021</t>
        </is>
      </c>
      <c r="B350" s="1" t="n">
        <v>44501</v>
      </c>
      <c r="C350" s="1" t="n">
        <v>46197</v>
      </c>
      <c r="D350" t="inlineStr">
        <is>
          <t>VÄSTRA GÖTALANDS LÄN</t>
        </is>
      </c>
      <c r="E350" t="inlineStr">
        <is>
          <t>TIDAHOLM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15953-2022</t>
        </is>
      </c>
      <c r="B351" s="1" t="n">
        <v>44664</v>
      </c>
      <c r="C351" s="1" t="n">
        <v>46197</v>
      </c>
      <c r="D351" t="inlineStr">
        <is>
          <t>VÄSTRA GÖTALANDS LÄN</t>
        </is>
      </c>
      <c r="E351" t="inlineStr">
        <is>
          <t>TIDAHOLM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923-2025</t>
        </is>
      </c>
      <c r="B352" s="1" t="n">
        <v>45665</v>
      </c>
      <c r="C352" s="1" t="n">
        <v>46197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22020-2026</t>
        </is>
      </c>
      <c r="B353" s="1" t="n">
        <v>46153</v>
      </c>
      <c r="C353" s="1" t="n">
        <v>46197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15194-2023</t>
        </is>
      </c>
      <c r="B354" s="1" t="n">
        <v>45016</v>
      </c>
      <c r="C354" s="1" t="n">
        <v>46197</v>
      </c>
      <c r="D354" t="inlineStr">
        <is>
          <t>VÄSTRA GÖTALANDS LÄN</t>
        </is>
      </c>
      <c r="E354" t="inlineStr">
        <is>
          <t>TIDAHOLM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28327-2023</t>
        </is>
      </c>
      <c r="B355" s="1" t="n">
        <v>45099</v>
      </c>
      <c r="C355" s="1" t="n">
        <v>46197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23044-2022</t>
        </is>
      </c>
      <c r="B356" s="1" t="n">
        <v>44719</v>
      </c>
      <c r="C356" s="1" t="n">
        <v>46197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60252-2023</t>
        </is>
      </c>
      <c r="B357" s="1" t="n">
        <v>45258</v>
      </c>
      <c r="C357" s="1" t="n">
        <v>46197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61361-2022</t>
        </is>
      </c>
      <c r="B358" s="1" t="n">
        <v>44915</v>
      </c>
      <c r="C358" s="1" t="n">
        <v>46197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25110-2024</t>
        </is>
      </c>
      <c r="B359" s="1" t="n">
        <v>45462</v>
      </c>
      <c r="C359" s="1" t="n">
        <v>46197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49050-2021</t>
        </is>
      </c>
      <c r="B360" s="1" t="n">
        <v>44453</v>
      </c>
      <c r="C360" s="1" t="n">
        <v>46197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60040-2022</t>
        </is>
      </c>
      <c r="B361" s="1" t="n">
        <v>44902</v>
      </c>
      <c r="C361" s="1" t="n">
        <v>46197</v>
      </c>
      <c r="D361" t="inlineStr">
        <is>
          <t>VÄSTRA GÖTALANDS LÄN</t>
        </is>
      </c>
      <c r="E361" t="inlineStr">
        <is>
          <t>TIDAHOLM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22144-2023</t>
        </is>
      </c>
      <c r="B362" s="1" t="n">
        <v>45068</v>
      </c>
      <c r="C362" s="1" t="n">
        <v>46197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18596-2024</t>
        </is>
      </c>
      <c r="B363" s="1" t="n">
        <v>45425</v>
      </c>
      <c r="C363" s="1" t="n">
        <v>46197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</v>
      </c>
      <c r="C364" s="1" t="n">
        <v>46197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44038-2024</t>
        </is>
      </c>
      <c r="B365" s="1" t="n">
        <v>45572</v>
      </c>
      <c r="C365" s="1" t="n">
        <v>46197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32447-2023</t>
        </is>
      </c>
      <c r="B366" s="1" t="n">
        <v>45120</v>
      </c>
      <c r="C366" s="1" t="n">
        <v>46197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26529-2024</t>
        </is>
      </c>
      <c r="B367" s="1" t="n">
        <v>45469</v>
      </c>
      <c r="C367" s="1" t="n">
        <v>46197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35142-2024</t>
        </is>
      </c>
      <c r="B368" s="1" t="n">
        <v>45530</v>
      </c>
      <c r="C368" s="1" t="n">
        <v>46197</v>
      </c>
      <c r="D368" t="inlineStr">
        <is>
          <t>VÄSTRA GÖTALANDS LÄN</t>
        </is>
      </c>
      <c r="E368" t="inlineStr">
        <is>
          <t>TIDAHOLM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44451-2023</t>
        </is>
      </c>
      <c r="B369" s="1" t="n">
        <v>45183</v>
      </c>
      <c r="C369" s="1" t="n">
        <v>46197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Allmännings- och besparingsskogar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32670-2023</t>
        </is>
      </c>
      <c r="B370" s="1" t="n">
        <v>45121</v>
      </c>
      <c r="C370" s="1" t="n">
        <v>46197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44456-2023</t>
        </is>
      </c>
      <c r="B371" s="1" t="n">
        <v>45183</v>
      </c>
      <c r="C371" s="1" t="n">
        <v>46197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Allmännings- och besparingsskogar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26550-2024</t>
        </is>
      </c>
      <c r="B372" s="1" t="n">
        <v>45469</v>
      </c>
      <c r="C372" s="1" t="n">
        <v>46197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52715-2023</t>
        </is>
      </c>
      <c r="B373" s="1" t="n">
        <v>45225</v>
      </c>
      <c r="C373" s="1" t="n">
        <v>46197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30819-2022</t>
        </is>
      </c>
      <c r="B374" s="1" t="n">
        <v>44766</v>
      </c>
      <c r="C374" s="1" t="n">
        <v>46197</v>
      </c>
      <c r="D374" t="inlineStr">
        <is>
          <t>VÄSTRA GÖTALANDS LÄN</t>
        </is>
      </c>
      <c r="E374" t="inlineStr">
        <is>
          <t>TIDAHOLM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26538-2024</t>
        </is>
      </c>
      <c r="B375" s="1" t="n">
        <v>45469</v>
      </c>
      <c r="C375" s="1" t="n">
        <v>46197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15852-2024</t>
        </is>
      </c>
      <c r="B376" s="1" t="n">
        <v>45404</v>
      </c>
      <c r="C376" s="1" t="n">
        <v>46197</v>
      </c>
      <c r="D376" t="inlineStr">
        <is>
          <t>VÄSTRA GÖTALANDS LÄN</t>
        </is>
      </c>
      <c r="E376" t="inlineStr">
        <is>
          <t>TIDAHOLM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28682-2023</t>
        </is>
      </c>
      <c r="B377" s="1" t="n">
        <v>45103</v>
      </c>
      <c r="C377" s="1" t="n">
        <v>46197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37299-2023</t>
        </is>
      </c>
      <c r="B378" s="1" t="n">
        <v>45156</v>
      </c>
      <c r="C378" s="1" t="n">
        <v>46197</v>
      </c>
      <c r="D378" t="inlineStr">
        <is>
          <t>VÄSTRA GÖTALANDS LÄN</t>
        </is>
      </c>
      <c r="E378" t="inlineStr">
        <is>
          <t>TIDAHOLM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28984-2024</t>
        </is>
      </c>
      <c r="B379" s="1" t="n">
        <v>45481</v>
      </c>
      <c r="C379" s="1" t="n">
        <v>46197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29177-2023</t>
        </is>
      </c>
      <c r="B380" s="1" t="n">
        <v>45105</v>
      </c>
      <c r="C380" s="1" t="n">
        <v>46197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57964-2022</t>
        </is>
      </c>
      <c r="B381" s="1" t="n">
        <v>44900</v>
      </c>
      <c r="C381" s="1" t="n">
        <v>46197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7648-2023</t>
        </is>
      </c>
      <c r="B382" s="1" t="n">
        <v>44972</v>
      </c>
      <c r="C382" s="1" t="n">
        <v>46197</v>
      </c>
      <c r="D382" t="inlineStr">
        <is>
          <t>VÄSTRA GÖTALANDS LÄN</t>
        </is>
      </c>
      <c r="E382" t="inlineStr">
        <is>
          <t>TIDAHOLM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45468-2024</t>
        </is>
      </c>
      <c r="B383" s="1" t="n">
        <v>45576</v>
      </c>
      <c r="C383" s="1" t="n">
        <v>46197</v>
      </c>
      <c r="D383" t="inlineStr">
        <is>
          <t>VÄSTRA GÖTALANDS LÄN</t>
        </is>
      </c>
      <c r="E383" t="inlineStr">
        <is>
          <t>TIDAHOLM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46009-2024</t>
        </is>
      </c>
      <c r="B384" s="1" t="n">
        <v>45580</v>
      </c>
      <c r="C384" s="1" t="n">
        <v>46197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18247-2023</t>
        </is>
      </c>
      <c r="B385" s="1" t="n">
        <v>45041</v>
      </c>
      <c r="C385" s="1" t="n">
        <v>46197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9231-2024</t>
        </is>
      </c>
      <c r="B386" s="1" t="n">
        <v>45358</v>
      </c>
      <c r="C386" s="1" t="n">
        <v>46197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60923-2024</t>
        </is>
      </c>
      <c r="B387" s="1" t="n">
        <v>45645</v>
      </c>
      <c r="C387" s="1" t="n">
        <v>46197</v>
      </c>
      <c r="D387" t="inlineStr">
        <is>
          <t>VÄSTRA GÖTALANDS LÄN</t>
        </is>
      </c>
      <c r="E387" t="inlineStr">
        <is>
          <t>TIDAHOLM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1941-2025</t>
        </is>
      </c>
      <c r="B388" s="1" t="n">
        <v>45672</v>
      </c>
      <c r="C388" s="1" t="n">
        <v>46197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59139-2024</t>
        </is>
      </c>
      <c r="B389" s="1" t="n">
        <v>45637</v>
      </c>
      <c r="C389" s="1" t="n">
        <v>46197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21173-2025</t>
        </is>
      </c>
      <c r="B390" s="1" t="n">
        <v>45779</v>
      </c>
      <c r="C390" s="1" t="n">
        <v>46197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52042-2024</t>
        </is>
      </c>
      <c r="B391" s="1" t="n">
        <v>45608</v>
      </c>
      <c r="C391" s="1" t="n">
        <v>46197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27369-2024</t>
        </is>
      </c>
      <c r="B392" s="1" t="n">
        <v>45473</v>
      </c>
      <c r="C392" s="1" t="n">
        <v>46197</v>
      </c>
      <c r="D392" t="inlineStr">
        <is>
          <t>VÄSTRA GÖTALANDS LÄN</t>
        </is>
      </c>
      <c r="E392" t="inlineStr">
        <is>
          <t>TIDAHOLM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35125-2024</t>
        </is>
      </c>
      <c r="B393" s="1" t="n">
        <v>45530</v>
      </c>
      <c r="C393" s="1" t="n">
        <v>46197</v>
      </c>
      <c r="D393" t="inlineStr">
        <is>
          <t>VÄSTRA GÖTALANDS LÄN</t>
        </is>
      </c>
      <c r="E393" t="inlineStr">
        <is>
          <t>TIDAHOLM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22857-2025</t>
        </is>
      </c>
      <c r="B394" s="1" t="n">
        <v>45790</v>
      </c>
      <c r="C394" s="1" t="n">
        <v>46197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33568-2024</t>
        </is>
      </c>
      <c r="B395" s="1" t="n">
        <v>45519</v>
      </c>
      <c r="C395" s="1" t="n">
        <v>46197</v>
      </c>
      <c r="D395" t="inlineStr">
        <is>
          <t>VÄSTRA GÖTALANDS LÄN</t>
        </is>
      </c>
      <c r="E395" t="inlineStr">
        <is>
          <t>TIDAHOLM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35361-2024</t>
        </is>
      </c>
      <c r="B396" s="1" t="n">
        <v>45531</v>
      </c>
      <c r="C396" s="1" t="n">
        <v>46197</v>
      </c>
      <c r="D396" t="inlineStr">
        <is>
          <t>VÄSTRA GÖTALANDS LÄN</t>
        </is>
      </c>
      <c r="E396" t="inlineStr">
        <is>
          <t>TIDAHOLM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14331-2025</t>
        </is>
      </c>
      <c r="B397" s="1" t="n">
        <v>45740</v>
      </c>
      <c r="C397" s="1" t="n">
        <v>46197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8616-2025</t>
        </is>
      </c>
      <c r="B398" s="1" t="n">
        <v>45711</v>
      </c>
      <c r="C398" s="1" t="n">
        <v>46197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3449-2025</t>
        </is>
      </c>
      <c r="B399" s="1" t="n">
        <v>45680</v>
      </c>
      <c r="C399" s="1" t="n">
        <v>46197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11835-2025</t>
        </is>
      </c>
      <c r="B400" s="1" t="n">
        <v>45728</v>
      </c>
      <c r="C400" s="1" t="n">
        <v>46197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2026-06-24T00:45:50Z</dcterms:created>
  <dcterms:modified xmlns:dcterms="http://purl.org/dc/terms/" xmlns:xsi="http://www.w3.org/2001/XMLSchema-instance" xsi:type="dcterms:W3CDTF">2026-06-24T00:45:50Z</dcterms:modified>
</cp:coreProperties>
</file>