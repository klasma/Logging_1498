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46219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s="2" t="inlineStr">
        <is>
          <t>Skrovlig taggsvamp
Blå taggsvamp
Dropptaggsvamp
Motaggsvamp
Orange taggsvamp
Skarp dropptaggsvamp
Svartvit taggsvamp
Zontaggsvamp</t>
        </is>
      </c>
      <c r="V2">
        <f>HYPERLINK("https://klasma.github.io/Logging_1498/artfynd/A 36225-2024 artfynd.xlsx", "A 36225-2024")</f>
        <v/>
      </c>
      <c r="W2">
        <f>HYPERLINK("https://klasma.github.io/Logging_1498/kartor/A 36225-2024 karta.png", "A 36225-2024")</f>
        <v/>
      </c>
      <c r="Y2">
        <f>HYPERLINK("https://klasma.github.io/Logging_1498/klagomål/A 36225-2024 FSC-klagomål.docx", "A 36225-2024")</f>
        <v/>
      </c>
      <c r="Z2">
        <f>HYPERLINK("https://klasma.github.io/Logging_1498/klagomålsmail/A 36225-2024 FSC-klagomål mail.docx", "A 36225-2024")</f>
        <v/>
      </c>
      <c r="AA2">
        <f>HYPERLINK("https://klasma.github.io/Logging_1498/tillsyn/A 36225-2024 tillsynsbegäran.docx", "A 36225-2024")</f>
        <v/>
      </c>
      <c r="AB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46219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s="2" t="inlineStr">
        <is>
          <t>Mörk dunört
Blåmossa
Bågpraktmossa
Kornknutmossa
Skogsbräsma
Svartvit flugsnappare
Lopplummer (aggregat)
Revlummer</t>
        </is>
      </c>
      <c r="V3">
        <f>HYPERLINK("https://klasma.github.io/Logging_1498/artfynd/A 12353-2022 artfynd.xlsx", "A 12353-2022")</f>
        <v/>
      </c>
      <c r="W3">
        <f>HYPERLINK("https://klasma.github.io/Logging_1498/kartor/A 12353-2022 karta.png", "A 12353-2022")</f>
        <v/>
      </c>
      <c r="Y3">
        <f>HYPERLINK("https://klasma.github.io/Logging_1498/klagomål/A 12353-2022 FSC-klagomål.docx", "A 12353-2022")</f>
        <v/>
      </c>
      <c r="Z3">
        <f>HYPERLINK("https://klasma.github.io/Logging_1498/klagomålsmail/A 12353-2022 FSC-klagomål mail.docx", "A 12353-2022")</f>
        <v/>
      </c>
      <c r="AA3">
        <f>HYPERLINK("https://klasma.github.io/Logging_1498/tillsyn/A 12353-2022 tillsynsbegäran.docx", "A 12353-2022")</f>
        <v/>
      </c>
      <c r="AB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46219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s="2" t="inlineStr">
        <is>
          <t>Ask
Slåttergubbe
Jungfrulin
Svinrot
Fällmossa
Liten baronmossa
Vanlig groda</t>
        </is>
      </c>
      <c r="V4">
        <f>HYPERLINK("https://klasma.github.io/Logging_1498/artfynd/S 6994-2022 artfynd.xlsx", "S 6994-2022")</f>
        <v/>
      </c>
      <c r="W4">
        <f>HYPERLINK("https://klasma.github.io/Logging_1498/kartor/S 6994-2022 karta.png", "S 6994-2022")</f>
        <v/>
      </c>
      <c r="Y4">
        <f>HYPERLINK("https://klasma.github.io/Logging_1498/klagomål/S 6994-2022 FSC-klagomål.docx", "S 6994-2022")</f>
        <v/>
      </c>
      <c r="Z4">
        <f>HYPERLINK("https://klasma.github.io/Logging_1498/klagomålsmail/S 6994-2022 FSC-klagomål mail.docx", "S 6994-2022")</f>
        <v/>
      </c>
      <c r="AA4">
        <f>HYPERLINK("https://klasma.github.io/Logging_1498/tillsyn/S 6994-2022 tillsynsbegäran.docx", "S 6994-2022")</f>
        <v/>
      </c>
      <c r="AB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46219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s="2" t="inlineStr">
        <is>
          <t>Ask
Skogsalm
Gulvit blekspik
Tornseglare
Grynig filtlav
Kungsörn</t>
        </is>
      </c>
      <c r="V5">
        <f>HYPERLINK("https://klasma.github.io/Logging_1498/artfynd/S 1006-2022 artfynd.xlsx", "S 1006-2022")</f>
        <v/>
      </c>
      <c r="W5">
        <f>HYPERLINK("https://klasma.github.io/Logging_1498/kartor/S 1006-2022 karta.png", "S 1006-2022")</f>
        <v/>
      </c>
      <c r="Y5">
        <f>HYPERLINK("https://klasma.github.io/Logging_1498/klagomål/S 1006-2022 FSC-klagomål.docx", "S 1006-2022")</f>
        <v/>
      </c>
      <c r="Z5">
        <f>HYPERLINK("https://klasma.github.io/Logging_1498/klagomålsmail/S 1006-2022 FSC-klagomål mail.docx", "S 1006-2022")</f>
        <v/>
      </c>
      <c r="AA5">
        <f>HYPERLINK("https://klasma.github.io/Logging_1498/tillsyn/S 1006-2022 tillsynsbegäran.docx", "S 1006-2022")</f>
        <v/>
      </c>
      <c r="AB5">
        <f>HYPERLINK("https://klasma.github.io/Logging_1498/tillsynsmail/S 1006-2022 tillsynsbegäran mail.docx", "S 1006-2022")</f>
        <v/>
      </c>
      <c r="AC5">
        <f>HYPERLINK("https://klasma.github.io/Logging_1498/fåglar/S 1006-2022 prioriterade fågelarter.docx", "S 1006-2022")</f>
        <v/>
      </c>
    </row>
    <row r="6" ht="15" customHeight="1">
      <c r="A6" t="inlineStr">
        <is>
          <t>A 46261-2021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44442</v>
      </c>
      <c r="E6" s="1" t="n">
        <v>46219</v>
      </c>
      <c r="F6" t="inlineStr">
        <is>
          <t>VÄSTRA GÖTALANDS LÄN</t>
        </is>
      </c>
      <c r="G6" t="inlineStr">
        <is>
          <t>TIDAHOLM</t>
        </is>
      </c>
      <c r="H6" t="inlineStr">
        <is>
          <t>Sveaskog</t>
        </is>
      </c>
      <c r="I6" t="n">
        <v>6.3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Grynig filtlav
Fällmossa
Blåsippa</t>
        </is>
      </c>
      <c r="V6">
        <f>HYPERLINK("https://klasma.github.io/Logging_1498/artfynd/A 46261-2021 artfynd.xlsx", "A 46261-2021")</f>
        <v/>
      </c>
      <c r="W6">
        <f>HYPERLINK("https://klasma.github.io/Logging_1498/kartor/A 46261-2021 karta.png", "A 46261-2021")</f>
        <v/>
      </c>
      <c r="Y6">
        <f>HYPERLINK("https://klasma.github.io/Logging_1498/klagomål/A 46261-2021 FSC-klagomål.docx", "A 46261-2021")</f>
        <v/>
      </c>
      <c r="Z6">
        <f>HYPERLINK("https://klasma.github.io/Logging_1498/klagomålsmail/A 46261-2021 FSC-klagomål mail.docx", "A 46261-2021")</f>
        <v/>
      </c>
      <c r="AA6">
        <f>HYPERLINK("https://klasma.github.io/Logging_1498/tillsyn/A 46261-2021 tillsynsbegäran.docx", "A 46261-2021")</f>
        <v/>
      </c>
      <c r="AB6">
        <f>HYPERLINK("https://klasma.github.io/Logging_1498/tillsynsmail/A 46261-2021 tillsynsbegäran mail.docx", "A 46261-2021")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46219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Gullpudra
Grön sköldmossa
Revlummer</t>
        </is>
      </c>
      <c r="V7">
        <f>HYPERLINK("https://klasma.github.io/Logging_1498/artfynd/A 2389-2024 artfynd.xlsx", "A 2389-2024")</f>
        <v/>
      </c>
      <c r="W7">
        <f>HYPERLINK("https://klasma.github.io/Logging_1498/kartor/A 2389-2024 karta.png", "A 2389-2024")</f>
        <v/>
      </c>
      <c r="Y7">
        <f>HYPERLINK("https://klasma.github.io/Logging_1498/klagomål/A 2389-2024 FSC-klagomål.docx", "A 2389-2024")</f>
        <v/>
      </c>
      <c r="Z7">
        <f>HYPERLINK("https://klasma.github.io/Logging_1498/klagomålsmail/A 2389-2024 FSC-klagomål mail.docx", "A 2389-2024")</f>
        <v/>
      </c>
      <c r="AA7">
        <f>HYPERLINK("https://klasma.github.io/Logging_1498/tillsyn/A 2389-2024 tillsynsbegäran.docx", "A 2389-2024")</f>
        <v/>
      </c>
      <c r="AB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46219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Narrklibbfibbla
Tallticka
Sotlav</t>
        </is>
      </c>
      <c r="V8">
        <f>HYPERLINK("https://klasma.github.io/Logging_1498/artfynd/S 1294-2020 artfynd.xlsx", "S 1294-2020")</f>
        <v/>
      </c>
      <c r="W8">
        <f>HYPERLINK("https://klasma.github.io/Logging_1498/kartor/S 1294-2020 karta.png", "S 1294-2020")</f>
        <v/>
      </c>
      <c r="Y8">
        <f>HYPERLINK("https://klasma.github.io/Logging_1498/klagomål/S 1294-2020 FSC-klagomål.docx", "S 1294-2020")</f>
        <v/>
      </c>
      <c r="Z8">
        <f>HYPERLINK("https://klasma.github.io/Logging_1498/klagomålsmail/S 1294-2020 FSC-klagomål mail.docx", "S 1294-2020")</f>
        <v/>
      </c>
      <c r="AA8">
        <f>HYPERLINK("https://klasma.github.io/Logging_1498/tillsyn/S 1294-2020 tillsynsbegäran.docx", "S 1294-2020")</f>
        <v/>
      </c>
      <c r="AB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46219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s="2" t="inlineStr">
        <is>
          <t>Storspov
Gulsparv
Göktyta</t>
        </is>
      </c>
      <c r="V9">
        <f>HYPERLINK("https://klasma.github.io/Logging_1498/artfynd/S 964-2022 artfynd.xlsx", "S 964-2022")</f>
        <v/>
      </c>
      <c r="W9">
        <f>HYPERLINK("https://klasma.github.io/Logging_1498/kartor/S 964-2022 karta.png", "S 964-2022")</f>
        <v/>
      </c>
      <c r="Y9">
        <f>HYPERLINK("https://klasma.github.io/Logging_1498/klagomål/S 964-2022 FSC-klagomål.docx", "S 964-2022")</f>
        <v/>
      </c>
      <c r="Z9">
        <f>HYPERLINK("https://klasma.github.io/Logging_1498/klagomålsmail/S 964-2022 FSC-klagomål mail.docx", "S 964-2022")</f>
        <v/>
      </c>
      <c r="AA9">
        <f>HYPERLINK("https://klasma.github.io/Logging_1498/tillsyn/S 964-2022 tillsynsbegäran.docx", "S 964-2022")</f>
        <v/>
      </c>
      <c r="AB9">
        <f>HYPERLINK("https://klasma.github.io/Logging_1498/tillsynsmail/S 964-2022 tillsynsbegäran mail.docx", "S 964-2022")</f>
        <v/>
      </c>
      <c r="AC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46219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Grynig filtlav
Fällmossa</t>
        </is>
      </c>
      <c r="V10">
        <f>HYPERLINK("https://klasma.github.io/Logging_1498/artfynd/A 689-2023 artfynd.xlsx", "A 689-2023")</f>
        <v/>
      </c>
      <c r="W10">
        <f>HYPERLINK("https://klasma.github.io/Logging_1498/kartor/A 689-2023 karta.png", "A 689-2023")</f>
        <v/>
      </c>
      <c r="Y10">
        <f>HYPERLINK("https://klasma.github.io/Logging_1498/klagomål/A 689-2023 FSC-klagomål.docx", "A 689-2023")</f>
        <v/>
      </c>
      <c r="Z10">
        <f>HYPERLINK("https://klasma.github.io/Logging_1498/klagomålsmail/A 689-2023 FSC-klagomål mail.docx", "A 689-2023")</f>
        <v/>
      </c>
      <c r="AA10">
        <f>HYPERLINK("https://klasma.github.io/Logging_1498/tillsyn/A 689-2023 tillsynsbegäran.docx", "A 689-2023")</f>
        <v/>
      </c>
      <c r="AB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46219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s="2" t="inlineStr">
        <is>
          <t>Mosippa
Dropptaggsvamp</t>
        </is>
      </c>
      <c r="V11">
        <f>HYPERLINK("https://klasma.github.io/Logging_1498/artfynd/A 44466-2023 artfynd.xlsx", "A 44466-2023")</f>
        <v/>
      </c>
      <c r="W11">
        <f>HYPERLINK("https://klasma.github.io/Logging_1498/kartor/A 44466-2023 karta.png", "A 44466-2023")</f>
        <v/>
      </c>
      <c r="Y11">
        <f>HYPERLINK("https://klasma.github.io/Logging_1498/klagomål/A 44466-2023 FSC-klagomål.docx", "A 44466-2023")</f>
        <v/>
      </c>
      <c r="Z11">
        <f>HYPERLINK("https://klasma.github.io/Logging_1498/klagomålsmail/A 44466-2023 FSC-klagomål mail.docx", "A 44466-2023")</f>
        <v/>
      </c>
      <c r="AA11">
        <f>HYPERLINK("https://klasma.github.io/Logging_1498/tillsyn/A 44466-2023 tillsynsbegäran.docx", "A 44466-2023")</f>
        <v/>
      </c>
      <c r="AB11">
        <f>HYPERLINK("https://klasma.github.io/Logging_1498/tillsynsmail/A 44466-2023 tillsynsbegäran mail.docx", "A 44466-2023")</f>
        <v/>
      </c>
    </row>
    <row r="12" ht="15" customHeight="1">
      <c r="A12" t="inlineStr">
        <is>
          <t>A 40547-2021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44420</v>
      </c>
      <c r="E12" s="1" t="n">
        <v>46219</v>
      </c>
      <c r="F12" t="inlineStr">
        <is>
          <t>VÄSTRA GÖTALANDS LÄN</t>
        </is>
      </c>
      <c r="G12" t="inlineStr">
        <is>
          <t>TIDAHOLM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Entita</t>
        </is>
      </c>
      <c r="V12">
        <f>HYPERLINK("https://klasma.github.io/Logging_1498/artfynd/A 40547-2021 artfynd.xlsx", "A 40547-2021")</f>
        <v/>
      </c>
      <c r="W12">
        <f>HYPERLINK("https://klasma.github.io/Logging_1498/kartor/A 40547-2021 karta.png", "A 40547-2021")</f>
        <v/>
      </c>
      <c r="Y12">
        <f>HYPERLINK("https://klasma.github.io/Logging_1498/klagomål/A 40547-2021 FSC-klagomål.docx", "A 40547-2021")</f>
        <v/>
      </c>
      <c r="Z12">
        <f>HYPERLINK("https://klasma.github.io/Logging_1498/klagomålsmail/A 40547-2021 FSC-klagomål mail.docx", "A 40547-2021")</f>
        <v/>
      </c>
      <c r="AA12">
        <f>HYPERLINK("https://klasma.github.io/Logging_1498/tillsyn/A 40547-2021 tillsynsbegäran.docx", "A 40547-2021")</f>
        <v/>
      </c>
      <c r="AB12">
        <f>HYPERLINK("https://klasma.github.io/Logging_1498/tillsynsmail/A 40547-2021 tillsynsbegäran mail.docx", "A 40547-2021")</f>
        <v/>
      </c>
      <c r="AC12">
        <f>HYPERLINK("https://klasma.github.io/Logging_1498/fåglar/A 40547-2021 prioriterade fågelarter.docx", "A 40547-2021")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46219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Sexfläckig bastardsvärmare</t>
        </is>
      </c>
      <c r="V13">
        <f>HYPERLINK("https://klasma.github.io/Logging_1498/artfynd/A 64930-2021 artfynd.xlsx", "A 64930-2021")</f>
        <v/>
      </c>
      <c r="W13">
        <f>HYPERLINK("https://klasma.github.io/Logging_1498/kartor/A 64930-2021 karta.png", "A 64930-2021")</f>
        <v/>
      </c>
      <c r="Y13">
        <f>HYPERLINK("https://klasma.github.io/Logging_1498/klagomål/A 64930-2021 FSC-klagomål.docx", "A 64930-2021")</f>
        <v/>
      </c>
      <c r="Z13">
        <f>HYPERLINK("https://klasma.github.io/Logging_1498/klagomålsmail/A 64930-2021 FSC-klagomål mail.docx", "A 64930-2021")</f>
        <v/>
      </c>
      <c r="AA13">
        <f>HYPERLINK("https://klasma.github.io/Logging_1498/tillsyn/A 64930-2021 tillsynsbegäran.docx", "A 64930-2021")</f>
        <v/>
      </c>
      <c r="AB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46219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Gullpudra</t>
        </is>
      </c>
      <c r="V14">
        <f>HYPERLINK("https://klasma.github.io/Logging_1498/artfynd/A 64926-2021 artfynd.xlsx", "A 64926-2021")</f>
        <v/>
      </c>
      <c r="W14">
        <f>HYPERLINK("https://klasma.github.io/Logging_1498/kartor/A 64926-2021 karta.png", "A 64926-2021")</f>
        <v/>
      </c>
      <c r="Y14">
        <f>HYPERLINK("https://klasma.github.io/Logging_1498/klagomål/A 64926-2021 FSC-klagomål.docx", "A 64926-2021")</f>
        <v/>
      </c>
      <c r="Z14">
        <f>HYPERLINK("https://klasma.github.io/Logging_1498/klagomålsmail/A 64926-2021 FSC-klagomål mail.docx", "A 64926-2021")</f>
        <v/>
      </c>
      <c r="AA14">
        <f>HYPERLINK("https://klasma.github.io/Logging_1498/tillsyn/A 64926-2021 tillsynsbegäran.docx", "A 64926-2021")</f>
        <v/>
      </c>
      <c r="AB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46219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Kambräken</t>
        </is>
      </c>
      <c r="V15">
        <f>HYPERLINK("https://klasma.github.io/Logging_1498/artfynd/A 50293-2022 artfynd.xlsx", "A 50293-2022")</f>
        <v/>
      </c>
      <c r="W15">
        <f>HYPERLINK("https://klasma.github.io/Logging_1498/kartor/A 50293-2022 karta.png", "A 50293-2022")</f>
        <v/>
      </c>
      <c r="Y15">
        <f>HYPERLINK("https://klasma.github.io/Logging_1498/klagomål/A 50293-2022 FSC-klagomål.docx", "A 50293-2022")</f>
        <v/>
      </c>
      <c r="Z15">
        <f>HYPERLINK("https://klasma.github.io/Logging_1498/klagomålsmail/A 50293-2022 FSC-klagomål mail.docx", "A 50293-2022")</f>
        <v/>
      </c>
      <c r="AA15">
        <f>HYPERLINK("https://klasma.github.io/Logging_1498/tillsyn/A 50293-2022 tillsynsbegäran.docx", "A 50293-2022")</f>
        <v/>
      </c>
      <c r="AB15">
        <f>HYPERLINK("https://klasma.github.io/Logging_1498/tillsynsmail/A 50293-2022 tillsynsbegäran mail.docx", "A 50293-2022")</f>
        <v/>
      </c>
    </row>
    <row r="16" ht="15" customHeight="1">
      <c r="A16" t="inlineStr">
        <is>
          <t>A 3976-2024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46219</v>
      </c>
      <c r="F16" t="inlineStr">
        <is>
          <t>VÄSTRA GÖTALANDS LÄN</t>
        </is>
      </c>
      <c r="G16" t="inlineStr">
        <is>
          <t>TIDAHOLM</t>
        </is>
      </c>
      <c r="I16" t="n">
        <v>1.9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Brunlångöra</t>
        </is>
      </c>
      <c r="V16">
        <f>HYPERLINK("https://klasma.github.io/Logging_1498/artfynd/A 3976-2024 artfynd.xlsx", "A 3976-2024")</f>
        <v/>
      </c>
      <c r="W16">
        <f>HYPERLINK("https://klasma.github.io/Logging_1498/kartor/A 3976-2024 karta.png", "A 3976-2024")</f>
        <v/>
      </c>
      <c r="Y16">
        <f>HYPERLINK("https://klasma.github.io/Logging_1498/klagomål/A 3976-2024 FSC-klagomål.docx", "A 3976-2024")</f>
        <v/>
      </c>
      <c r="Z16">
        <f>HYPERLINK("https://klasma.github.io/Logging_1498/klagomålsmail/A 3976-2024 FSC-klagomål mail.docx", "A 3976-2024")</f>
        <v/>
      </c>
      <c r="AA16">
        <f>HYPERLINK("https://klasma.github.io/Logging_1498/tillsyn/A 3976-2024 tillsynsbegäran.docx", "A 3976-2024")</f>
        <v/>
      </c>
      <c r="AB16">
        <f>HYPERLINK("https://klasma.github.io/Logging_1498/tillsynsmail/A 3976-2024 tillsynsbegäran mail.docx", "A 3976-2024")</f>
        <v/>
      </c>
    </row>
    <row r="17" ht="15" customHeight="1">
      <c r="A17" t="inlineStr">
        <is>
          <t>A 41346-2025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45899</v>
      </c>
      <c r="E17" s="1" t="n">
        <v>46219</v>
      </c>
      <c r="F17" t="inlineStr">
        <is>
          <t>VÄSTRA GÖTALANDS LÄN</t>
        </is>
      </c>
      <c r="G17" t="inlineStr">
        <is>
          <t>TIDAHOLM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Guldlockmossa</t>
        </is>
      </c>
      <c r="V17">
        <f>HYPERLINK("https://klasma.github.io/Logging_1498/artfynd/A 41346-2025 artfynd.xlsx", "A 41346-2025")</f>
        <v/>
      </c>
      <c r="W17">
        <f>HYPERLINK("https://klasma.github.io/Logging_1498/kartor/A 41346-2025 karta.png", "A 41346-2025")</f>
        <v/>
      </c>
      <c r="Y17">
        <f>HYPERLINK("https://klasma.github.io/Logging_1498/klagomål/A 41346-2025 FSC-klagomål.docx", "A 41346-2025")</f>
        <v/>
      </c>
      <c r="Z17">
        <f>HYPERLINK("https://klasma.github.io/Logging_1498/klagomålsmail/A 41346-2025 FSC-klagomål mail.docx", "A 41346-2025")</f>
        <v/>
      </c>
      <c r="AA17">
        <f>HYPERLINK("https://klasma.github.io/Logging_1498/tillsyn/A 41346-2025 tillsynsbegäran.docx", "A 41346-2025")</f>
        <v/>
      </c>
      <c r="AB17">
        <f>HYPERLINK("https://klasma.github.io/Logging_1498/tillsynsmail/A 41346-2025 tillsynsbegäran mail.docx", "A 41346-2025")</f>
        <v/>
      </c>
    </row>
    <row r="18" ht="15" customHeight="1">
      <c r="A18" t="inlineStr">
        <is>
          <t>A 12332-2022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44637</v>
      </c>
      <c r="E18" s="1" t="n">
        <v>46219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Kommuner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Mörk dunört</t>
        </is>
      </c>
      <c r="V18">
        <f>HYPERLINK("https://klasma.github.io/Logging_1498/artfynd/A 12332-2022 artfynd.xlsx", "A 12332-2022")</f>
        <v/>
      </c>
      <c r="W18">
        <f>HYPERLINK("https://klasma.github.io/Logging_1498/kartor/A 12332-2022 karta.png", "A 12332-2022")</f>
        <v/>
      </c>
      <c r="Y18">
        <f>HYPERLINK("https://klasma.github.io/Logging_1498/klagomål/A 12332-2022 FSC-klagomål.docx", "A 12332-2022")</f>
        <v/>
      </c>
      <c r="Z18">
        <f>HYPERLINK("https://klasma.github.io/Logging_1498/klagomålsmail/A 12332-2022 FSC-klagomål mail.docx", "A 12332-2022")</f>
        <v/>
      </c>
      <c r="AA18">
        <f>HYPERLINK("https://klasma.github.io/Logging_1498/tillsyn/A 12332-2022 tillsynsbegäran.docx", "A 12332-2022")</f>
        <v/>
      </c>
      <c r="AB18">
        <f>HYPERLINK("https://klasma.github.io/Logging_1498/tillsynsmail/A 12332-2022 tillsynsbegäran mail.docx", "A 12332-2022")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46219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Vanlig groda</t>
        </is>
      </c>
      <c r="V19">
        <f>HYPERLINK("https://klasma.github.io/Logging_1498/artfynd/A 46247-2025 artfynd.xlsx", "A 46247-2025")</f>
        <v/>
      </c>
      <c r="W19">
        <f>HYPERLINK("https://klasma.github.io/Logging_1498/kartor/A 46247-2025 karta.png", "A 46247-2025")</f>
        <v/>
      </c>
      <c r="Y19">
        <f>HYPERLINK("https://klasma.github.io/Logging_1498/klagomål/A 46247-2025 FSC-klagomål.docx", "A 46247-2025")</f>
        <v/>
      </c>
      <c r="Z19">
        <f>HYPERLINK("https://klasma.github.io/Logging_1498/klagomålsmail/A 46247-2025 FSC-klagomål mail.docx", "A 46247-2025")</f>
        <v/>
      </c>
      <c r="AA19">
        <f>HYPERLINK("https://klasma.github.io/Logging_1498/tillsyn/A 46247-2025 tillsynsbegäran.docx", "A 46247-2025")</f>
        <v/>
      </c>
      <c r="AB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46219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Tjäder</t>
        </is>
      </c>
      <c r="V20">
        <f>HYPERLINK("https://klasma.github.io/Logging_1498/artfynd/A 47391-2025 artfynd.xlsx", "A 47391-2025")</f>
        <v/>
      </c>
      <c r="W20">
        <f>HYPERLINK("https://klasma.github.io/Logging_1498/kartor/A 47391-2025 karta.png", "A 47391-2025")</f>
        <v/>
      </c>
      <c r="Y20">
        <f>HYPERLINK("https://klasma.github.io/Logging_1498/klagomål/A 47391-2025 FSC-klagomål.docx", "A 47391-2025")</f>
        <v/>
      </c>
      <c r="Z20">
        <f>HYPERLINK("https://klasma.github.io/Logging_1498/klagomålsmail/A 47391-2025 FSC-klagomål mail.docx", "A 47391-2025")</f>
        <v/>
      </c>
      <c r="AA20">
        <f>HYPERLINK("https://klasma.github.io/Logging_1498/tillsyn/A 47391-2025 tillsynsbegäran.docx", "A 47391-2025")</f>
        <v/>
      </c>
      <c r="AB20">
        <f>HYPERLINK("https://klasma.github.io/Logging_1498/tillsynsmail/A 47391-2025 tillsynsbegäran mail.docx", "A 47391-2025")</f>
        <v/>
      </c>
      <c r="AC20">
        <f>HYPERLINK("https://klasma.github.io/Logging_1498/fåglar/A 47391-2025 prioriterade fågelarter.docx", "A 47391-2025")</f>
        <v/>
      </c>
    </row>
    <row r="21" ht="15" customHeight="1">
      <c r="A21" t="inlineStr">
        <is>
          <t>A 4052-2025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45684</v>
      </c>
      <c r="E21" s="1" t="n">
        <v>46219</v>
      </c>
      <c r="F21" t="inlineStr">
        <is>
          <t>VÄSTRA GÖTALANDS LÄN</t>
        </is>
      </c>
      <c r="G21" t="inlineStr">
        <is>
          <t>TIDAHOLM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HYPERLINK("https://klasma.github.io/Logging_1498/artfynd/A 4052-2025 artfynd.xlsx", "A 4052-2025")</f>
        <v/>
      </c>
      <c r="W21">
        <f>HYPERLINK("https://klasma.github.io/Logging_1498/kartor/A 4052-2025 karta.png", "A 4052-2025")</f>
        <v/>
      </c>
      <c r="Y21">
        <f>HYPERLINK("https://klasma.github.io/Logging_1498/klagomål/A 4052-2025 FSC-klagomål.docx", "A 4052-2025")</f>
        <v/>
      </c>
      <c r="Z21">
        <f>HYPERLINK("https://klasma.github.io/Logging_1498/klagomålsmail/A 4052-2025 FSC-klagomål mail.docx", "A 4052-2025")</f>
        <v/>
      </c>
      <c r="AA21">
        <f>HYPERLINK("https://klasma.github.io/Logging_1498/tillsyn/A 4052-2025 tillsynsbegäran.docx", "A 4052-2025")</f>
        <v/>
      </c>
      <c r="AB21">
        <f>HYPERLINK("https://klasma.github.io/Logging_1498/tillsynsmail/A 4052-2025 tillsynsbegäran mail.docx", "A 4052-2025")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46219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Grönvit nattviol</t>
        </is>
      </c>
      <c r="V22">
        <f>HYPERLINK("https://klasma.github.io/Logging_1498/artfynd/A 6813-2026 artfynd.xlsx", "A 6813-2026")</f>
        <v/>
      </c>
      <c r="W22">
        <f>HYPERLINK("https://klasma.github.io/Logging_1498/kartor/A 6813-2026 karta.png", "A 6813-2026")</f>
        <v/>
      </c>
      <c r="Y22">
        <f>HYPERLINK("https://klasma.github.io/Logging_1498/klagomål/A 6813-2026 FSC-klagomål.docx", "A 6813-2026")</f>
        <v/>
      </c>
      <c r="Z22">
        <f>HYPERLINK("https://klasma.github.io/Logging_1498/klagomålsmail/A 6813-2026 FSC-klagomål mail.docx", "A 6813-2026")</f>
        <v/>
      </c>
      <c r="AA22">
        <f>HYPERLINK("https://klasma.github.io/Logging_1498/tillsyn/A 6813-2026 tillsynsbegäran.docx", "A 6813-2026")</f>
        <v/>
      </c>
      <c r="AB22">
        <f>HYPERLINK("https://klasma.github.io/Logging_1498/tillsynsmail/A 6813-2026 tillsynsbegäran mail.docx", "A 6813-2026")</f>
        <v/>
      </c>
    </row>
    <row r="23" ht="15" customHeight="1">
      <c r="A23" t="inlineStr">
        <is>
          <t>A 57539-2023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45246</v>
      </c>
      <c r="E23" s="1" t="n">
        <v>46219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Kyrkan</t>
        </is>
      </c>
      <c r="I23" t="n">
        <v>1.7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Svinrot</t>
        </is>
      </c>
      <c r="V23">
        <f>HYPERLINK("https://klasma.github.io/Logging_1498/artfynd/A 57539-2023 artfynd.xlsx", "A 57539-2023")</f>
        <v/>
      </c>
      <c r="W23">
        <f>HYPERLINK("https://klasma.github.io/Logging_1498/kartor/A 57539-2023 karta.png", "A 57539-2023")</f>
        <v/>
      </c>
      <c r="Y23">
        <f>HYPERLINK("https://klasma.github.io/Logging_1498/klagomål/A 57539-2023 FSC-klagomål.docx", "A 57539-2023")</f>
        <v/>
      </c>
      <c r="Z23">
        <f>HYPERLINK("https://klasma.github.io/Logging_1498/klagomålsmail/A 57539-2023 FSC-klagomål mail.docx", "A 57539-2023")</f>
        <v/>
      </c>
      <c r="AA23">
        <f>HYPERLINK("https://klasma.github.io/Logging_1498/tillsyn/A 57539-2023 tillsynsbegäran.docx", "A 57539-2023")</f>
        <v/>
      </c>
      <c r="AB23">
        <f>HYPERLINK("https://klasma.github.io/Logging_1498/tillsynsmail/A 57539-2023 tillsynsbegäran mail.docx", "A 57539-2023")</f>
        <v/>
      </c>
    </row>
    <row r="24" ht="15" customHeight="1">
      <c r="A24" t="inlineStr">
        <is>
          <t>A 54133-2023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45232</v>
      </c>
      <c r="E24" s="1" t="n">
        <v>46219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Kyrkan</t>
        </is>
      </c>
      <c r="I24" t="n">
        <v>9.300000000000001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s="2" t="inlineStr">
        <is>
          <t>Gammelgransskål</t>
        </is>
      </c>
      <c r="V24">
        <f>HYPERLINK("https://klasma.github.io/Logging_1498/artfynd/A 54133-2023 artfynd.xlsx", "A 54133-2023")</f>
        <v/>
      </c>
      <c r="W24">
        <f>HYPERLINK("https://klasma.github.io/Logging_1498/kartor/A 54133-2023 karta.png", "A 54133-2023")</f>
        <v/>
      </c>
      <c r="Y24">
        <f>HYPERLINK("https://klasma.github.io/Logging_1498/klagomål/A 54133-2023 FSC-klagomål.docx", "A 54133-2023")</f>
        <v/>
      </c>
      <c r="Z24">
        <f>HYPERLINK("https://klasma.github.io/Logging_1498/klagomålsmail/A 54133-2023 FSC-klagomål mail.docx", "A 54133-2023")</f>
        <v/>
      </c>
      <c r="AA24">
        <f>HYPERLINK("https://klasma.github.io/Logging_1498/tillsyn/A 54133-2023 tillsynsbegäran.docx", "A 54133-2023")</f>
        <v/>
      </c>
      <c r="AB24">
        <f>HYPERLINK("https://klasma.github.io/Logging_1498/tillsynsmail/A 54133-2023 tillsynsbegäran mail.docx", "A 54133-2023")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46219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Borsttåg</t>
        </is>
      </c>
      <c r="V25">
        <f>HYPERLINK("https://klasma.github.io/Logging_1498/artfynd/S 974-2022 artfynd.xlsx", "S 974-2022")</f>
        <v/>
      </c>
      <c r="W25">
        <f>HYPERLINK("https://klasma.github.io/Logging_1498/kartor/S 974-2022 karta.png", "S 974-2022")</f>
        <v/>
      </c>
      <c r="Y25">
        <f>HYPERLINK("https://klasma.github.io/Logging_1498/klagomål/S 974-2022 FSC-klagomål.docx", "S 974-2022")</f>
        <v/>
      </c>
      <c r="Z25">
        <f>HYPERLINK("https://klasma.github.io/Logging_1498/klagomålsmail/S 974-2022 FSC-klagomål mail.docx", "S 974-2022")</f>
        <v/>
      </c>
      <c r="AA25">
        <f>HYPERLINK("https://klasma.github.io/Logging_1498/tillsyn/S 974-2022 tillsynsbegäran.docx", "S 974-2022")</f>
        <v/>
      </c>
      <c r="AB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46219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Slåtterfibbla</t>
        </is>
      </c>
      <c r="V26">
        <f>HYPERLINK("https://klasma.github.io/Logging_1498/artfynd/S 966-2022 artfynd.xlsx", "S 966-2022")</f>
        <v/>
      </c>
      <c r="W26">
        <f>HYPERLINK("https://klasma.github.io/Logging_1498/kartor/S 966-2022 karta.png", "S 966-2022")</f>
        <v/>
      </c>
      <c r="Y26">
        <f>HYPERLINK("https://klasma.github.io/Logging_1498/klagomål/S 966-2022 FSC-klagomål.docx", "S 966-2022")</f>
        <v/>
      </c>
      <c r="Z26">
        <f>HYPERLINK("https://klasma.github.io/Logging_1498/klagomålsmail/S 966-2022 FSC-klagomål mail.docx", "S 966-2022")</f>
        <v/>
      </c>
      <c r="AA26">
        <f>HYPERLINK("https://klasma.github.io/Logging_1498/tillsyn/S 966-2022 tillsynsbegäran.docx", "S 966-2022")</f>
        <v/>
      </c>
      <c r="AB26">
        <f>HYPERLINK("https://klasma.github.io/Logging_1498/tillsynsmail/S 966-2022 tillsynsbegäran mail.docx", "S 966-2022")</f>
        <v/>
      </c>
    </row>
    <row r="27" ht="15" customHeight="1">
      <c r="A27" t="inlineStr">
        <is>
          <t>S 965-2022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46219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195.8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Ryl</t>
        </is>
      </c>
      <c r="V27">
        <f>HYPERLINK("https://klasma.github.io/Logging_1498/artfynd/S 965-2022 artfynd.xlsx", "S 965-2022")</f>
        <v/>
      </c>
      <c r="W27">
        <f>HYPERLINK("https://klasma.github.io/Logging_1498/kartor/S 965-2022 karta.png", "S 965-2022")</f>
        <v/>
      </c>
      <c r="Y27">
        <f>HYPERLINK("https://klasma.github.io/Logging_1498/klagomål/S 965-2022 FSC-klagomål.docx", "S 965-2022")</f>
        <v/>
      </c>
      <c r="Z27">
        <f>HYPERLINK("https://klasma.github.io/Logging_1498/klagomålsmail/S 965-2022 FSC-klagomål mail.docx", "S 965-2022")</f>
        <v/>
      </c>
      <c r="AA27">
        <f>HYPERLINK("https://klasma.github.io/Logging_1498/tillsyn/S 965-2022 tillsynsbegäran.docx", "S 965-2022")</f>
        <v/>
      </c>
      <c r="AB27">
        <f>HYPERLINK("https://klasma.github.io/Logging_1498/tillsynsmail/S 965-2022 tillsynsbegäran mail.docx", "S 965-2022")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46219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Kopparödla</t>
        </is>
      </c>
      <c r="V28">
        <f>HYPERLINK("https://klasma.github.io/Logging_1498/artfynd/S 970-2022 artfynd.xlsx", "S 970-2022")</f>
        <v/>
      </c>
      <c r="W28">
        <f>HYPERLINK("https://klasma.github.io/Logging_1498/kartor/S 970-2022 karta.png", "S 970-2022")</f>
        <v/>
      </c>
      <c r="Y28">
        <f>HYPERLINK("https://klasma.github.io/Logging_1498/klagomål/S 970-2022 FSC-klagomål.docx", "S 970-2022")</f>
        <v/>
      </c>
      <c r="Z28">
        <f>HYPERLINK("https://klasma.github.io/Logging_1498/klagomålsmail/S 970-2022 FSC-klagomål mail.docx", "S 970-2022")</f>
        <v/>
      </c>
      <c r="AA28">
        <f>HYPERLINK("https://klasma.github.io/Logging_1498/tillsyn/S 970-2022 tillsynsbegäran.docx", "S 970-2022")</f>
        <v/>
      </c>
      <c r="AB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46219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s="2" t="inlineStr">
        <is>
          <t>Gullklöver</t>
        </is>
      </c>
      <c r="V29">
        <f>HYPERLINK("https://klasma.github.io/Logging_1498/artfynd/S 363-2026 artfynd.xlsx", "S 363-2026")</f>
        <v/>
      </c>
      <c r="W29">
        <f>HYPERLINK("https://klasma.github.io/Logging_1498/kartor/S 363-2026 karta.png", "S 363-2026")</f>
        <v/>
      </c>
      <c r="Y29">
        <f>HYPERLINK("https://klasma.github.io/Logging_1498/klagomål/S 363-2026 FSC-klagomål.docx", "S 363-2026")</f>
        <v/>
      </c>
      <c r="Z29">
        <f>HYPERLINK("https://klasma.github.io/Logging_1498/klagomålsmail/S 363-2026 FSC-klagomål mail.docx", "S 363-2026")</f>
        <v/>
      </c>
      <c r="AA29">
        <f>HYPERLINK("https://klasma.github.io/Logging_1498/tillsyn/S 363-2026 tillsynsbegäran.docx", "S 363-2026")</f>
        <v/>
      </c>
      <c r="AB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46219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46219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43338-2021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44431</v>
      </c>
      <c r="E32" s="1" t="n">
        <v>46219</v>
      </c>
      <c r="F32" t="inlineStr">
        <is>
          <t>VÄSTRA GÖTALANDS LÄN</t>
        </is>
      </c>
      <c r="G32" t="inlineStr">
        <is>
          <t>TIDAHOLM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46219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46219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46219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46219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46219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46219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46219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46219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46219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46219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46219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51678-2021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46219</v>
      </c>
      <c r="F44" t="inlineStr">
        <is>
          <t>VÄSTRA GÖTALANDS LÄN</t>
        </is>
      </c>
      <c r="G44" t="inlineStr">
        <is>
          <t>TIDAHOLM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47963-2021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44449</v>
      </c>
      <c r="E45" s="1" t="n">
        <v>46219</v>
      </c>
      <c r="F45" t="inlineStr">
        <is>
          <t>VÄSTRA GÖTALANDS LÄN</t>
        </is>
      </c>
      <c r="G45" t="inlineStr">
        <is>
          <t>TIDAHOLM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43812-2021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44433</v>
      </c>
      <c r="E46" s="1" t="n">
        <v>46219</v>
      </c>
      <c r="F46" t="inlineStr">
        <is>
          <t>VÄSTRA GÖTALANDS LÄN</t>
        </is>
      </c>
      <c r="G46" t="inlineStr">
        <is>
          <t>TIDAHOLM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19647-2022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44694</v>
      </c>
      <c r="E47" s="1" t="n">
        <v>46219</v>
      </c>
      <c r="F47" t="inlineStr">
        <is>
          <t>VÄSTRA GÖTALANDS LÄN</t>
        </is>
      </c>
      <c r="G47" t="inlineStr">
        <is>
          <t>TIDAHOLM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64927-2021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46219</v>
      </c>
      <c r="F48" t="inlineStr">
        <is>
          <t>VÄSTRA GÖTALANDS LÄN</t>
        </is>
      </c>
      <c r="G48" t="inlineStr">
        <is>
          <t>TIDAHOLM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44587</v>
      </c>
      <c r="E49" s="1" t="n">
        <v>46219</v>
      </c>
      <c r="F49" t="inlineStr">
        <is>
          <t>VÄSTRA GÖTALANDS LÄN</t>
        </is>
      </c>
      <c r="G49" t="inlineStr">
        <is>
          <t>TIDAHOLM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56095-2022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46219</v>
      </c>
      <c r="F50" t="inlineStr">
        <is>
          <t>VÄSTRA GÖTALANDS LÄN</t>
        </is>
      </c>
      <c r="G50" t="inlineStr">
        <is>
          <t>TIDAHOLM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40627-2021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44420</v>
      </c>
      <c r="E51" s="1" t="n">
        <v>46219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44431</v>
      </c>
      <c r="E52" s="1" t="n">
        <v>46219</v>
      </c>
      <c r="F52" t="inlineStr">
        <is>
          <t>VÄSTRA GÖTALANDS LÄN</t>
        </is>
      </c>
      <c r="G52" t="inlineStr">
        <is>
          <t>TIDAHOLM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32615-2022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46219</v>
      </c>
      <c r="F53" t="inlineStr">
        <is>
          <t>VÄSTRA GÖTALANDS LÄN</t>
        </is>
      </c>
      <c r="G53" t="inlineStr">
        <is>
          <t>TIDAHOLM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72686-2021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46219</v>
      </c>
      <c r="F54" t="inlineStr">
        <is>
          <t>VÄSTRA GÖTALANDS LÄN</t>
        </is>
      </c>
      <c r="G54" t="inlineStr">
        <is>
          <t>TIDAHOLM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58009-2021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44456</v>
      </c>
      <c r="E55" s="1" t="n">
        <v>46219</v>
      </c>
      <c r="F55" t="inlineStr">
        <is>
          <t>VÄSTRA GÖTALANDS LÄN</t>
        </is>
      </c>
      <c r="G55" t="inlineStr">
        <is>
          <t>TIDAHOLM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1457-2022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46219</v>
      </c>
      <c r="F56" t="inlineStr">
        <is>
          <t>VÄSTRA GÖTALANDS LÄN</t>
        </is>
      </c>
      <c r="G56" t="inlineStr">
        <is>
          <t>TIDAHOLM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44703</v>
      </c>
      <c r="E57" s="1" t="n">
        <v>46219</v>
      </c>
      <c r="F57" t="inlineStr">
        <is>
          <t>VÄSTRA GÖTALANDS LÄN</t>
        </is>
      </c>
      <c r="G57" t="inlineStr">
        <is>
          <t>TIDAHOLM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8502-2022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46219</v>
      </c>
      <c r="F58" t="inlineStr">
        <is>
          <t>VÄSTRA GÖTALANDS LÄN</t>
        </is>
      </c>
      <c r="G58" t="inlineStr">
        <is>
          <t>TIDAHOLM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51535-2022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46219</v>
      </c>
      <c r="F59" t="inlineStr">
        <is>
          <t>VÄSTRA GÖTALANDS LÄN</t>
        </is>
      </c>
      <c r="G59" t="inlineStr">
        <is>
          <t>TIDAHOLM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68293-2021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46219</v>
      </c>
      <c r="F60" t="inlineStr">
        <is>
          <t>VÄSTRA GÖTALANDS LÄN</t>
        </is>
      </c>
      <c r="G60" t="inlineStr">
        <is>
          <t>TIDAHOLM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72690-2021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46219</v>
      </c>
      <c r="F61" t="inlineStr">
        <is>
          <t>VÄSTRA GÖTALANDS LÄN</t>
        </is>
      </c>
      <c r="G61" t="inlineStr">
        <is>
          <t>TIDAHOLM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54856-2021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44474</v>
      </c>
      <c r="E62" s="1" t="n">
        <v>46219</v>
      </c>
      <c r="F62" t="inlineStr">
        <is>
          <t>VÄSTRA GÖTALANDS LÄN</t>
        </is>
      </c>
      <c r="G62" t="inlineStr">
        <is>
          <t>TIDAHOLM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9004-2022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44615</v>
      </c>
      <c r="E63" s="1" t="n">
        <v>46219</v>
      </c>
      <c r="F63" t="inlineStr">
        <is>
          <t>VÄSTRA GÖTALANDS LÄN</t>
        </is>
      </c>
      <c r="G63" t="inlineStr">
        <is>
          <t>TIDAHOLM</t>
        </is>
      </c>
      <c r="H63" t="inlineStr">
        <is>
          <t>Kyrkan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10325-2022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44623</v>
      </c>
      <c r="E64" s="1" t="n">
        <v>46219</v>
      </c>
      <c r="F64" t="inlineStr">
        <is>
          <t>VÄSTRA GÖTALANDS LÄN</t>
        </is>
      </c>
      <c r="G64" t="inlineStr">
        <is>
          <t>TIDAHOLM</t>
        </is>
      </c>
      <c r="I64" t="n">
        <v>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18489-2022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44686</v>
      </c>
      <c r="E65" s="1" t="n">
        <v>46219</v>
      </c>
      <c r="F65" t="inlineStr">
        <is>
          <t>VÄSTRA GÖTALANDS LÄN</t>
        </is>
      </c>
      <c r="G65" t="inlineStr">
        <is>
          <t>TIDAHOLM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52806-2021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44456</v>
      </c>
      <c r="E66" s="1" t="n">
        <v>46219</v>
      </c>
      <c r="F66" t="inlineStr">
        <is>
          <t>VÄSTRA GÖTALANDS LÄN</t>
        </is>
      </c>
      <c r="G66" t="inlineStr">
        <is>
          <t>TIDAHOLM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9159-2022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46219</v>
      </c>
      <c r="F67" t="inlineStr">
        <is>
          <t>VÄSTRA GÖTALANDS LÄN</t>
        </is>
      </c>
      <c r="G67" t="inlineStr">
        <is>
          <t>TIDAHOLM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9163-2022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44615</v>
      </c>
      <c r="E68" s="1" t="n">
        <v>46219</v>
      </c>
      <c r="F68" t="inlineStr">
        <is>
          <t>VÄSTRA GÖTALANDS LÄN</t>
        </is>
      </c>
      <c r="G68" t="inlineStr">
        <is>
          <t>TIDAHOLM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66823-2021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44522</v>
      </c>
      <c r="E69" s="1" t="n">
        <v>46219</v>
      </c>
      <c r="F69" t="inlineStr">
        <is>
          <t>VÄSTRA GÖTALANDS LÄN</t>
        </is>
      </c>
      <c r="G69" t="inlineStr">
        <is>
          <t>TIDAHOLM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50768-2021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44456</v>
      </c>
      <c r="E70" s="1" t="n">
        <v>46219</v>
      </c>
      <c r="F70" t="inlineStr">
        <is>
          <t>VÄSTRA GÖTALANDS LÄN</t>
        </is>
      </c>
      <c r="G70" t="inlineStr">
        <is>
          <t>TIDAHOLM</t>
        </is>
      </c>
      <c r="I70" t="n">
        <v>9.199999999999999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44589</v>
      </c>
      <c r="E71" s="1" t="n">
        <v>46219</v>
      </c>
      <c r="F71" t="inlineStr">
        <is>
          <t>VÄSTRA GÖTALANDS LÄN</t>
        </is>
      </c>
      <c r="G71" t="inlineStr">
        <is>
          <t>TIDAHOLM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32670-2023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45121</v>
      </c>
      <c r="E72" s="1" t="n">
        <v>46219</v>
      </c>
      <c r="F72" t="inlineStr">
        <is>
          <t>VÄSTRA GÖTALANDS LÄN</t>
        </is>
      </c>
      <c r="G72" t="inlineStr">
        <is>
          <t>TIDAHOLM</t>
        </is>
      </c>
      <c r="H72" t="inlineStr">
        <is>
          <t>Kommuner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54113-2022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44881</v>
      </c>
      <c r="E73" s="1" t="n">
        <v>46219</v>
      </c>
      <c r="F73" t="inlineStr">
        <is>
          <t>VÄSTRA GÖTALANDS LÄN</t>
        </is>
      </c>
      <c r="G73" t="inlineStr">
        <is>
          <t>TIDAHOLM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7922-2023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44973</v>
      </c>
      <c r="E74" s="1" t="n">
        <v>46219</v>
      </c>
      <c r="F74" t="inlineStr">
        <is>
          <t>VÄSTRA GÖTALANDS LÄN</t>
        </is>
      </c>
      <c r="G74" t="inlineStr">
        <is>
          <t>TIDAHOLM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7931-2023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44973</v>
      </c>
      <c r="E75" s="1" t="n">
        <v>46219</v>
      </c>
      <c r="F75" t="inlineStr">
        <is>
          <t>VÄSTRA GÖTALANDS LÄN</t>
        </is>
      </c>
      <c r="G75" t="inlineStr">
        <is>
          <t>TIDAHOLM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49786-2023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45212</v>
      </c>
      <c r="E76" s="1" t="n">
        <v>46219</v>
      </c>
      <c r="F76" t="inlineStr">
        <is>
          <t>VÄSTRA GÖTALANDS LÄN</t>
        </is>
      </c>
      <c r="G76" t="inlineStr">
        <is>
          <t>TIDAHOLM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44456-2023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45183</v>
      </c>
      <c r="E77" s="1" t="n">
        <v>46219</v>
      </c>
      <c r="F77" t="inlineStr">
        <is>
          <t>VÄSTRA GÖTALANDS LÄN</t>
        </is>
      </c>
      <c r="G77" t="inlineStr">
        <is>
          <t>TIDAHOLM</t>
        </is>
      </c>
      <c r="H77" t="inlineStr">
        <is>
          <t>Allmännings- och besparingsskogar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73025-2021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46219</v>
      </c>
      <c r="F78" t="inlineStr">
        <is>
          <t>VÄSTRA GÖTALANDS LÄN</t>
        </is>
      </c>
      <c r="G78" t="inlineStr">
        <is>
          <t>TIDAHOLM</t>
        </is>
      </c>
      <c r="I78" t="n">
        <v>7.7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73028-2021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46219</v>
      </c>
      <c r="F79" t="inlineStr">
        <is>
          <t>VÄSTRA GÖTALANDS LÄN</t>
        </is>
      </c>
      <c r="G79" t="inlineStr">
        <is>
          <t>TIDAHOLM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73034-2021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44550</v>
      </c>
      <c r="E80" s="1" t="n">
        <v>46219</v>
      </c>
      <c r="F80" t="inlineStr">
        <is>
          <t>VÄSTRA GÖTALANDS LÄN</t>
        </is>
      </c>
      <c r="G80" t="inlineStr">
        <is>
          <t>TIDAHOLM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39321-2022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46219</v>
      </c>
      <c r="F81" t="inlineStr">
        <is>
          <t>VÄSTRA GÖTALANDS LÄN</t>
        </is>
      </c>
      <c r="G81" t="inlineStr">
        <is>
          <t>TIDAHOLM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26550-2024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45469</v>
      </c>
      <c r="E82" s="1" t="n">
        <v>46219</v>
      </c>
      <c r="F82" t="inlineStr">
        <is>
          <t>VÄSTRA GÖTALANDS LÄN</t>
        </is>
      </c>
      <c r="G82" t="inlineStr">
        <is>
          <t>TIDAHOLM</t>
        </is>
      </c>
      <c r="H82" t="inlineStr">
        <is>
          <t>Sveaskog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49115-2022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44860</v>
      </c>
      <c r="E83" s="1" t="n">
        <v>46219</v>
      </c>
      <c r="F83" t="inlineStr">
        <is>
          <t>VÄSTRA GÖTALANDS LÄN</t>
        </is>
      </c>
      <c r="G83" t="inlineStr">
        <is>
          <t>TIDAHOLM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52715-2023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45225</v>
      </c>
      <c r="E84" s="1" t="n">
        <v>46219</v>
      </c>
      <c r="F84" t="inlineStr">
        <is>
          <t>VÄSTRA GÖTALANDS LÄN</t>
        </is>
      </c>
      <c r="G84" t="inlineStr">
        <is>
          <t>TIDAHOLM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38134-2022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44812</v>
      </c>
      <c r="E85" s="1" t="n">
        <v>46219</v>
      </c>
      <c r="F85" t="inlineStr">
        <is>
          <t>VÄSTRA GÖTALANDS LÄN</t>
        </is>
      </c>
      <c r="G85" t="inlineStr">
        <is>
          <t>TIDAHOLM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11444-2022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44630</v>
      </c>
      <c r="E86" s="1" t="n">
        <v>46219</v>
      </c>
      <c r="F86" t="inlineStr">
        <is>
          <t>VÄSTRA GÖTALANDS LÄN</t>
        </is>
      </c>
      <c r="G86" t="inlineStr">
        <is>
          <t>TIDAHOLM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30819-2022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44766</v>
      </c>
      <c r="E87" s="1" t="n">
        <v>46219</v>
      </c>
      <c r="F87" t="inlineStr">
        <is>
          <t>VÄSTRA GÖTALANDS LÄN</t>
        </is>
      </c>
      <c r="G87" t="inlineStr">
        <is>
          <t>TIDAHOLM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693-2023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44930</v>
      </c>
      <c r="E88" s="1" t="n">
        <v>46219</v>
      </c>
      <c r="F88" t="inlineStr">
        <is>
          <t>VÄSTRA GÖTALANDS LÄN</t>
        </is>
      </c>
      <c r="G88" t="inlineStr">
        <is>
          <t>TIDAHOLM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26538-2024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45469</v>
      </c>
      <c r="E89" s="1" t="n">
        <v>46219</v>
      </c>
      <c r="F89" t="inlineStr">
        <is>
          <t>VÄSTRA GÖTALANDS LÄN</t>
        </is>
      </c>
      <c r="G89" t="inlineStr">
        <is>
          <t>TIDAHOLM</t>
        </is>
      </c>
      <c r="H89" t="inlineStr">
        <is>
          <t>Sveaskog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49159-2024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45594</v>
      </c>
      <c r="E90" s="1" t="n">
        <v>46219</v>
      </c>
      <c r="F90" t="inlineStr">
        <is>
          <t>VÄSTRA GÖTALANDS LÄN</t>
        </is>
      </c>
      <c r="G90" t="inlineStr">
        <is>
          <t>TIDAHOLM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15852-2024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45404</v>
      </c>
      <c r="E91" s="1" t="n">
        <v>46219</v>
      </c>
      <c r="F91" t="inlineStr">
        <is>
          <t>VÄSTRA GÖTALANDS LÄN</t>
        </is>
      </c>
      <c r="G91" t="inlineStr">
        <is>
          <t>TIDAHOLM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9140-2022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44615</v>
      </c>
      <c r="E92" s="1" t="n">
        <v>46219</v>
      </c>
      <c r="F92" t="inlineStr">
        <is>
          <t>VÄSTRA GÖTALANDS LÄN</t>
        </is>
      </c>
      <c r="G92" t="inlineStr">
        <is>
          <t>TIDAHOLM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39015-2024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45548</v>
      </c>
      <c r="E93" s="1" t="n">
        <v>46219</v>
      </c>
      <c r="F93" t="inlineStr">
        <is>
          <t>VÄSTRA GÖTALANDS LÄN</t>
        </is>
      </c>
      <c r="G93" t="inlineStr">
        <is>
          <t>TIDAHOLM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50724-2021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44456</v>
      </c>
      <c r="E94" s="1" t="n">
        <v>46219</v>
      </c>
      <c r="F94" t="inlineStr">
        <is>
          <t>VÄSTRA GÖTALANDS LÄN</t>
        </is>
      </c>
      <c r="G94" t="inlineStr">
        <is>
          <t>TIDAHOLM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50728-2021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44456</v>
      </c>
      <c r="E95" s="1" t="n">
        <v>46219</v>
      </c>
      <c r="F95" t="inlineStr">
        <is>
          <t>VÄSTRA GÖTALANDS LÄN</t>
        </is>
      </c>
      <c r="G95" t="inlineStr">
        <is>
          <t>TIDAHOLM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19144-2023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45048</v>
      </c>
      <c r="E96" s="1" t="n">
        <v>46219</v>
      </c>
      <c r="F96" t="inlineStr">
        <is>
          <t>VÄSTRA GÖTALANDS LÄN</t>
        </is>
      </c>
      <c r="G96" t="inlineStr">
        <is>
          <t>TIDAHOLM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4311-2022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44588</v>
      </c>
      <c r="E97" s="1" t="n">
        <v>46219</v>
      </c>
      <c r="F97" t="inlineStr">
        <is>
          <t>VÄSTRA GÖTALANDS LÄN</t>
        </is>
      </c>
      <c r="G97" t="inlineStr">
        <is>
          <t>TIDAHOLM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64724-2021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46219</v>
      </c>
      <c r="F98" t="inlineStr">
        <is>
          <t>VÄSTRA GÖTALANDS LÄN</t>
        </is>
      </c>
      <c r="G98" t="inlineStr">
        <is>
          <t>TIDAHOLM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52876-2023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45226</v>
      </c>
      <c r="E99" s="1" t="n">
        <v>46219</v>
      </c>
      <c r="F99" t="inlineStr">
        <is>
          <t>VÄSTRA GÖTALANDS LÄN</t>
        </is>
      </c>
      <c r="G99" t="inlineStr">
        <is>
          <t>TIDAHOLM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2840-2022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44580</v>
      </c>
      <c r="E100" s="1" t="n">
        <v>46219</v>
      </c>
      <c r="F100" t="inlineStr">
        <is>
          <t>VÄSTRA GÖTALANDS LÄN</t>
        </is>
      </c>
      <c r="G100" t="inlineStr">
        <is>
          <t>TIDAHOLM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4057-2025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45684</v>
      </c>
      <c r="E101" s="1" t="n">
        <v>46219</v>
      </c>
      <c r="F101" t="inlineStr">
        <is>
          <t>VÄSTRA GÖTALANDS LÄN</t>
        </is>
      </c>
      <c r="G101" t="inlineStr">
        <is>
          <t>TIDAHOLM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7904-2025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45707</v>
      </c>
      <c r="E102" s="1" t="n">
        <v>46219</v>
      </c>
      <c r="F102" t="inlineStr">
        <is>
          <t>VÄSTRA GÖTALANDS LÄN</t>
        </is>
      </c>
      <c r="G102" t="inlineStr">
        <is>
          <t>TIDAHOLM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38659-2025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45884</v>
      </c>
      <c r="E103" s="1" t="n">
        <v>46219</v>
      </c>
      <c r="F103" t="inlineStr">
        <is>
          <t>VÄSTRA GÖTALANDS LÄN</t>
        </is>
      </c>
      <c r="G103" t="inlineStr">
        <is>
          <t>TIDAHOLM</t>
        </is>
      </c>
      <c r="H103" t="inlineStr">
        <is>
          <t>Kyrkan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5005-2024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45329</v>
      </c>
      <c r="E104" s="1" t="n">
        <v>46219</v>
      </c>
      <c r="F104" t="inlineStr">
        <is>
          <t>VÄSTRA GÖTALANDS LÄN</t>
        </is>
      </c>
      <c r="G104" t="inlineStr">
        <is>
          <t>TIDAHOLM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5008-2024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45329</v>
      </c>
      <c r="E105" s="1" t="n">
        <v>46219</v>
      </c>
      <c r="F105" t="inlineStr">
        <is>
          <t>VÄSTRA GÖTALANDS LÄN</t>
        </is>
      </c>
      <c r="G105" t="inlineStr">
        <is>
          <t>TIDAHOLM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49865-2024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45596</v>
      </c>
      <c r="E106" s="1" t="n">
        <v>46219</v>
      </c>
      <c r="F106" t="inlineStr">
        <is>
          <t>VÄSTRA GÖTALANDS LÄN</t>
        </is>
      </c>
      <c r="G106" t="inlineStr">
        <is>
          <t>TIDAHOLM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64394-2023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45280</v>
      </c>
      <c r="E107" s="1" t="n">
        <v>46219</v>
      </c>
      <c r="F107" t="inlineStr">
        <is>
          <t>VÄSTRA GÖTALANDS LÄN</t>
        </is>
      </c>
      <c r="G107" t="inlineStr">
        <is>
          <t>TIDAHOLM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8403-2024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45352</v>
      </c>
      <c r="E108" s="1" t="n">
        <v>46219</v>
      </c>
      <c r="F108" t="inlineStr">
        <is>
          <t>VÄSTRA GÖTALANDS LÄN</t>
        </is>
      </c>
      <c r="G108" t="inlineStr">
        <is>
          <t>TIDAHOLM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51287-2024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45603</v>
      </c>
      <c r="E109" s="1" t="n">
        <v>46219</v>
      </c>
      <c r="F109" t="inlineStr">
        <is>
          <t>VÄSTRA GÖTALANDS LÄN</t>
        </is>
      </c>
      <c r="G109" t="inlineStr">
        <is>
          <t>TIDAHOLM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51288-2024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45603</v>
      </c>
      <c r="E110" s="1" t="n">
        <v>46219</v>
      </c>
      <c r="F110" t="inlineStr">
        <is>
          <t>VÄSTRA GÖTALANDS LÄN</t>
        </is>
      </c>
      <c r="G110" t="inlineStr">
        <is>
          <t>TIDAHOLM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46113-2024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45581</v>
      </c>
      <c r="E111" s="1" t="n">
        <v>46219</v>
      </c>
      <c r="F111" t="inlineStr">
        <is>
          <t>VÄSTRA GÖTALANDS LÄN</t>
        </is>
      </c>
      <c r="G111" t="inlineStr">
        <is>
          <t>TIDAHOLM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9374-2024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45359</v>
      </c>
      <c r="E112" s="1" t="n">
        <v>46219</v>
      </c>
      <c r="F112" t="inlineStr">
        <is>
          <t>VÄSTRA GÖTALANDS LÄN</t>
        </is>
      </c>
      <c r="G112" t="inlineStr">
        <is>
          <t>TIDAHOLM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27822-2023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45098</v>
      </c>
      <c r="E113" s="1" t="n">
        <v>46219</v>
      </c>
      <c r="F113" t="inlineStr">
        <is>
          <t>VÄSTRA GÖTALANDS LÄN</t>
        </is>
      </c>
      <c r="G113" t="inlineStr">
        <is>
          <t>TIDAHOLM</t>
        </is>
      </c>
      <c r="H113" t="inlineStr">
        <is>
          <t>Kyrkan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5771-2024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45335</v>
      </c>
      <c r="E114" s="1" t="n">
        <v>46219</v>
      </c>
      <c r="F114" t="inlineStr">
        <is>
          <t>VÄSTRA GÖTALANDS LÄN</t>
        </is>
      </c>
      <c r="G114" t="inlineStr">
        <is>
          <t>TIDAHOLM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28495-2024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45477</v>
      </c>
      <c r="E115" s="1" t="n">
        <v>46219</v>
      </c>
      <c r="F115" t="inlineStr">
        <is>
          <t>VÄSTRA GÖTALANDS LÄN</t>
        </is>
      </c>
      <c r="G115" t="inlineStr">
        <is>
          <t>TIDAHOLM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50624-2022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44866</v>
      </c>
      <c r="E116" s="1" t="n">
        <v>46219</v>
      </c>
      <c r="F116" t="inlineStr">
        <is>
          <t>VÄSTRA GÖTALANDS LÄN</t>
        </is>
      </c>
      <c r="G116" t="inlineStr">
        <is>
          <t>TIDAHOLM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14907-2023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45013</v>
      </c>
      <c r="E117" s="1" t="n">
        <v>46219</v>
      </c>
      <c r="F117" t="inlineStr">
        <is>
          <t>VÄSTRA GÖTALANDS LÄN</t>
        </is>
      </c>
      <c r="G117" t="inlineStr">
        <is>
          <t>TIDAHOLM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46037-2024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45580</v>
      </c>
      <c r="E118" s="1" t="n">
        <v>46219</v>
      </c>
      <c r="F118" t="inlineStr">
        <is>
          <t>VÄSTRA GÖTALANDS LÄN</t>
        </is>
      </c>
      <c r="G118" t="inlineStr">
        <is>
          <t>TIDAHOLM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48035-2023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45204</v>
      </c>
      <c r="E119" s="1" t="n">
        <v>46219</v>
      </c>
      <c r="F119" t="inlineStr">
        <is>
          <t>VÄSTRA GÖTALANDS LÄN</t>
        </is>
      </c>
      <c r="G119" t="inlineStr">
        <is>
          <t>TIDAHOLM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49114-2022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44860</v>
      </c>
      <c r="E120" s="1" t="n">
        <v>46219</v>
      </c>
      <c r="F120" t="inlineStr">
        <is>
          <t>VÄSTRA GÖTALANDS LÄN</t>
        </is>
      </c>
      <c r="G120" t="inlineStr">
        <is>
          <t>TIDAHOLM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60549-2024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45643</v>
      </c>
      <c r="E121" s="1" t="n">
        <v>46219</v>
      </c>
      <c r="F121" t="inlineStr">
        <is>
          <t>VÄSTRA GÖTALANDS LÄN</t>
        </is>
      </c>
      <c r="G121" t="inlineStr">
        <is>
          <t>TIDAHOLM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49309-2021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44454</v>
      </c>
      <c r="E122" s="1" t="n">
        <v>46219</v>
      </c>
      <c r="F122" t="inlineStr">
        <is>
          <t>VÄSTRA GÖTALANDS LÄN</t>
        </is>
      </c>
      <c r="G122" t="inlineStr">
        <is>
          <t>TIDAHOLM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11598-2023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44994</v>
      </c>
      <c r="E123" s="1" t="n">
        <v>46219</v>
      </c>
      <c r="F123" t="inlineStr">
        <is>
          <t>VÄSTRA GÖTALANDS LÄN</t>
        </is>
      </c>
      <c r="G123" t="inlineStr">
        <is>
          <t>TIDAHOLM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28682-2023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45103</v>
      </c>
      <c r="E124" s="1" t="n">
        <v>46219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Kyrkan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61754-2023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45265</v>
      </c>
      <c r="E125" s="1" t="n">
        <v>46219</v>
      </c>
      <c r="F125" t="inlineStr">
        <is>
          <t>VÄSTRA GÖTALANDS LÄN</t>
        </is>
      </c>
      <c r="G125" t="inlineStr">
        <is>
          <t>TIDAHOLM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37299-2023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45156</v>
      </c>
      <c r="E126" s="1" t="n">
        <v>46219</v>
      </c>
      <c r="F126" t="inlineStr">
        <is>
          <t>VÄSTRA GÖTALANDS LÄN</t>
        </is>
      </c>
      <c r="G126" t="inlineStr">
        <is>
          <t>TIDAHOLM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7749-2023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44973</v>
      </c>
      <c r="E127" s="1" t="n">
        <v>46219</v>
      </c>
      <c r="F127" t="inlineStr">
        <is>
          <t>VÄSTRA GÖTALANDS LÄN</t>
        </is>
      </c>
      <c r="G127" t="inlineStr">
        <is>
          <t>TIDAHOLM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12551-2023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45000</v>
      </c>
      <c r="E128" s="1" t="n">
        <v>46219</v>
      </c>
      <c r="F128" t="inlineStr">
        <is>
          <t>VÄSTRA GÖTALANDS LÄN</t>
        </is>
      </c>
      <c r="G128" t="inlineStr">
        <is>
          <t>TIDAHOLM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57958-2022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44900</v>
      </c>
      <c r="E129" s="1" t="n">
        <v>46219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26521-2024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45469</v>
      </c>
      <c r="E130" s="1" t="n">
        <v>46219</v>
      </c>
      <c r="F130" t="inlineStr">
        <is>
          <t>VÄSTRA GÖTALANDS LÄN</t>
        </is>
      </c>
      <c r="G130" t="inlineStr">
        <is>
          <t>TIDAHOLM</t>
        </is>
      </c>
      <c r="H130" t="inlineStr">
        <is>
          <t>Sveaskog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17339-2024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45414</v>
      </c>
      <c r="E131" s="1" t="n">
        <v>46219</v>
      </c>
      <c r="F131" t="inlineStr">
        <is>
          <t>VÄSTRA GÖTALANDS LÄN</t>
        </is>
      </c>
      <c r="G131" t="inlineStr">
        <is>
          <t>TIDAHOLM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27312-2023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45096</v>
      </c>
      <c r="E132" s="1" t="n">
        <v>46219</v>
      </c>
      <c r="F132" t="inlineStr">
        <is>
          <t>VÄSTRA GÖTALANDS LÄN</t>
        </is>
      </c>
      <c r="G132" t="inlineStr">
        <is>
          <t>TIDAHOLM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35140-2024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45530</v>
      </c>
      <c r="E133" s="1" t="n">
        <v>46219</v>
      </c>
      <c r="F133" t="inlineStr">
        <is>
          <t>VÄSTRA GÖTALANDS LÄN</t>
        </is>
      </c>
      <c r="G133" t="inlineStr">
        <is>
          <t>TIDAHOLM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2994-2023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44945</v>
      </c>
      <c r="E134" s="1" t="n">
        <v>46219</v>
      </c>
      <c r="F134" t="inlineStr">
        <is>
          <t>VÄSTRA GÖTALANDS LÄN</t>
        </is>
      </c>
      <c r="G134" t="inlineStr">
        <is>
          <t>TIDAHOLM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49157-2024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45594</v>
      </c>
      <c r="E135" s="1" t="n">
        <v>46219</v>
      </c>
      <c r="F135" t="inlineStr">
        <is>
          <t>VÄSTRA GÖTALANDS LÄN</t>
        </is>
      </c>
      <c r="G135" t="inlineStr">
        <is>
          <t>TIDAHOLM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27525-2024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45474</v>
      </c>
      <c r="E136" s="1" t="n">
        <v>46219</v>
      </c>
      <c r="F136" t="inlineStr">
        <is>
          <t>VÄSTRA GÖTALANDS LÄN</t>
        </is>
      </c>
      <c r="G136" t="inlineStr">
        <is>
          <t>TIDAHOLM</t>
        </is>
      </c>
      <c r="H136" t="inlineStr">
        <is>
          <t>Sveaskog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7917-2023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44973</v>
      </c>
      <c r="E137" s="1" t="n">
        <v>46219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27014-2025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45811</v>
      </c>
      <c r="E138" s="1" t="n">
        <v>46219</v>
      </c>
      <c r="F138" t="inlineStr">
        <is>
          <t>VÄSTRA GÖTALANDS LÄN</t>
        </is>
      </c>
      <c r="G138" t="inlineStr">
        <is>
          <t>TIDAHOLM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52030-2024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45608</v>
      </c>
      <c r="E139" s="1" t="n">
        <v>46219</v>
      </c>
      <c r="F139" t="inlineStr">
        <is>
          <t>VÄSTRA GÖTALANDS LÄN</t>
        </is>
      </c>
      <c r="G139" t="inlineStr">
        <is>
          <t>TIDAHOLM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2145-2025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45672</v>
      </c>
      <c r="E140" s="1" t="n">
        <v>46219</v>
      </c>
      <c r="F140" t="inlineStr">
        <is>
          <t>VÄSTRA GÖTALANDS LÄN</t>
        </is>
      </c>
      <c r="G140" t="inlineStr">
        <is>
          <t>TIDAHOLM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57576-2024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45630</v>
      </c>
      <c r="E141" s="1" t="n">
        <v>46219</v>
      </c>
      <c r="F141" t="inlineStr">
        <is>
          <t>VÄSTRA GÖTALANDS LÄN</t>
        </is>
      </c>
      <c r="G141" t="inlineStr">
        <is>
          <t>TIDAHOLM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28984-2024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45481</v>
      </c>
      <c r="E142" s="1" t="n">
        <v>46219</v>
      </c>
      <c r="F142" t="inlineStr">
        <is>
          <t>VÄSTRA GÖTALANDS LÄN</t>
        </is>
      </c>
      <c r="G142" t="inlineStr">
        <is>
          <t>TIDAHOLM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45464-2024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45576</v>
      </c>
      <c r="E143" s="1" t="n">
        <v>46219</v>
      </c>
      <c r="F143" t="inlineStr">
        <is>
          <t>VÄSTRA GÖTALANDS LÄN</t>
        </is>
      </c>
      <c r="G143" t="inlineStr">
        <is>
          <t>TIDAHOLM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39931-2025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45891</v>
      </c>
      <c r="E144" s="1" t="n">
        <v>46219</v>
      </c>
      <c r="F144" t="inlineStr">
        <is>
          <t>VÄSTRA GÖTALANDS LÄN</t>
        </is>
      </c>
      <c r="G144" t="inlineStr">
        <is>
          <t>TIDAHOLM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4888-2023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44958</v>
      </c>
      <c r="E145" s="1" t="n">
        <v>46219</v>
      </c>
      <c r="F145" t="inlineStr">
        <is>
          <t>VÄSTRA GÖTALANDS LÄN</t>
        </is>
      </c>
      <c r="G145" t="inlineStr">
        <is>
          <t>TIDAHOLM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40920-2025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45897</v>
      </c>
      <c r="E146" s="1" t="n">
        <v>46219</v>
      </c>
      <c r="F146" t="inlineStr">
        <is>
          <t>VÄSTRA GÖTALANDS LÄN</t>
        </is>
      </c>
      <c r="G146" t="inlineStr">
        <is>
          <t>TIDAHOLM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36194-2024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45534</v>
      </c>
      <c r="E147" s="1" t="n">
        <v>46219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Allmännings- och besparingsskogar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42778-2023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45181</v>
      </c>
      <c r="E148" s="1" t="n">
        <v>46219</v>
      </c>
      <c r="F148" t="inlineStr">
        <is>
          <t>VÄSTRA GÖTALANDS LÄN</t>
        </is>
      </c>
      <c r="G148" t="inlineStr">
        <is>
          <t>TIDAHOLM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32591-2022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44783</v>
      </c>
      <c r="E149" s="1" t="n">
        <v>46219</v>
      </c>
      <c r="F149" t="inlineStr">
        <is>
          <t>VÄSTRA GÖTALANDS LÄN</t>
        </is>
      </c>
      <c r="G149" t="inlineStr">
        <is>
          <t>TIDAHOLM</t>
        </is>
      </c>
      <c r="H149" t="inlineStr">
        <is>
          <t>Sveaskog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41347-2025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45899</v>
      </c>
      <c r="E150" s="1" t="n">
        <v>46219</v>
      </c>
      <c r="F150" t="inlineStr">
        <is>
          <t>VÄSTRA GÖTALANDS LÄN</t>
        </is>
      </c>
      <c r="G150" t="inlineStr">
        <is>
          <t>TIDAHOLM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42338-2025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45904</v>
      </c>
      <c r="E151" s="1" t="n">
        <v>46219</v>
      </c>
      <c r="F151" t="inlineStr">
        <is>
          <t>VÄSTRA GÖTALANDS LÄN</t>
        </is>
      </c>
      <c r="G151" t="inlineStr">
        <is>
          <t>TIDAHOLM</t>
        </is>
      </c>
      <c r="H151" t="inlineStr">
        <is>
          <t>Sveaskog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42339-2025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45904</v>
      </c>
      <c r="E152" s="1" t="n">
        <v>46219</v>
      </c>
      <c r="F152" t="inlineStr">
        <is>
          <t>VÄSTRA GÖTALANDS LÄN</t>
        </is>
      </c>
      <c r="G152" t="inlineStr">
        <is>
          <t>TIDAHOLM</t>
        </is>
      </c>
      <c r="H152" t="inlineStr">
        <is>
          <t>Sveaskog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42332-2025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45904</v>
      </c>
      <c r="E153" s="1" t="n">
        <v>46219</v>
      </c>
      <c r="F153" t="inlineStr">
        <is>
          <t>VÄSTRA GÖTALANDS LÄN</t>
        </is>
      </c>
      <c r="G153" t="inlineStr">
        <is>
          <t>TIDAHOLM</t>
        </is>
      </c>
      <c r="H153" t="inlineStr">
        <is>
          <t>Sveaskog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5585-2024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45334</v>
      </c>
      <c r="E154" s="1" t="n">
        <v>46219</v>
      </c>
      <c r="F154" t="inlineStr">
        <is>
          <t>VÄSTRA GÖTALANDS LÄN</t>
        </is>
      </c>
      <c r="G154" t="inlineStr">
        <is>
          <t>TIDAHOLM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42334-2025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45904</v>
      </c>
      <c r="E155" s="1" t="n">
        <v>46219</v>
      </c>
      <c r="F155" t="inlineStr">
        <is>
          <t>VÄSTRA GÖTALANDS LÄN</t>
        </is>
      </c>
      <c r="G155" t="inlineStr">
        <is>
          <t>TIDAHOLM</t>
        </is>
      </c>
      <c r="H155" t="inlineStr">
        <is>
          <t>Sveaskog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42336-2025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45904</v>
      </c>
      <c r="E156" s="1" t="n">
        <v>46219</v>
      </c>
      <c r="F156" t="inlineStr">
        <is>
          <t>VÄSTRA GÖTALANDS LÄN</t>
        </is>
      </c>
      <c r="G156" t="inlineStr">
        <is>
          <t>TIDAHOLM</t>
        </is>
      </c>
      <c r="H156" t="inlineStr">
        <is>
          <t>Sveaskog</t>
        </is>
      </c>
      <c r="I156" t="n">
        <v>8.1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29840-2024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45485</v>
      </c>
      <c r="E157" s="1" t="n">
        <v>46219</v>
      </c>
      <c r="F157" t="inlineStr">
        <is>
          <t>VÄSTRA GÖTALANDS LÄN</t>
        </is>
      </c>
      <c r="G157" t="inlineStr">
        <is>
          <t>TIDAHOLM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8545-2025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45709</v>
      </c>
      <c r="E158" s="1" t="n">
        <v>46219</v>
      </c>
      <c r="F158" t="inlineStr">
        <is>
          <t>VÄSTRA GÖTALANDS LÄN</t>
        </is>
      </c>
      <c r="G158" t="inlineStr">
        <is>
          <t>TIDAHOLM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26542-2024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45469</v>
      </c>
      <c r="E159" s="1" t="n">
        <v>46219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Sveaskog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68631-2021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44529</v>
      </c>
      <c r="E160" s="1" t="n">
        <v>46219</v>
      </c>
      <c r="F160" t="inlineStr">
        <is>
          <t>VÄSTRA GÖTALANDS LÄN</t>
        </is>
      </c>
      <c r="G160" t="inlineStr">
        <is>
          <t>TIDAHOLM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18095-2024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45420</v>
      </c>
      <c r="E161" s="1" t="n">
        <v>46219</v>
      </c>
      <c r="F161" t="inlineStr">
        <is>
          <t>VÄSTRA GÖTALANDS LÄN</t>
        </is>
      </c>
      <c r="G161" t="inlineStr">
        <is>
          <t>TIDAHOLM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39315-2022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44817</v>
      </c>
      <c r="E162" s="1" t="n">
        <v>46219</v>
      </c>
      <c r="F162" t="inlineStr">
        <is>
          <t>VÄSTRA GÖTALANDS LÄN</t>
        </is>
      </c>
      <c r="G162" t="inlineStr">
        <is>
          <t>TIDAHOLM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22084-2024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45443</v>
      </c>
      <c r="E163" s="1" t="n">
        <v>46219</v>
      </c>
      <c r="F163" t="inlineStr">
        <is>
          <t>VÄSTRA GÖTALANDS LÄN</t>
        </is>
      </c>
      <c r="G163" t="inlineStr">
        <is>
          <t>TIDAHOLM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2658-2022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44580</v>
      </c>
      <c r="E164" s="1" t="n">
        <v>46219</v>
      </c>
      <c r="F164" t="inlineStr">
        <is>
          <t>VÄSTRA GÖTALANDS LÄN</t>
        </is>
      </c>
      <c r="G164" t="inlineStr">
        <is>
          <t>TIDAHOLM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28296-2023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45099</v>
      </c>
      <c r="E165" s="1" t="n">
        <v>46219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Kyrkan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29392-2024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45483</v>
      </c>
      <c r="E166" s="1" t="n">
        <v>46219</v>
      </c>
      <c r="F166" t="inlineStr">
        <is>
          <t>VÄSTRA GÖTALANDS LÄN</t>
        </is>
      </c>
      <c r="G166" t="inlineStr">
        <is>
          <t>TIDAHOLM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45170-2025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45919</v>
      </c>
      <c r="E167" s="1" t="n">
        <v>46219</v>
      </c>
      <c r="F167" t="inlineStr">
        <is>
          <t>VÄSTRA GÖTALANDS LÄN</t>
        </is>
      </c>
      <c r="G167" t="inlineStr">
        <is>
          <t>TIDAHOLM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60646-2022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44911</v>
      </c>
      <c r="E168" s="1" t="n">
        <v>46219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Sveaskog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15090-2025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45744</v>
      </c>
      <c r="E169" s="1" t="n">
        <v>46219</v>
      </c>
      <c r="F169" t="inlineStr">
        <is>
          <t>VÄSTRA GÖTALANDS LÄN</t>
        </is>
      </c>
      <c r="G169" t="inlineStr">
        <is>
          <t>TIDAHOLM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60645-2022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44911</v>
      </c>
      <c r="E170" s="1" t="n">
        <v>46219</v>
      </c>
      <c r="F170" t="inlineStr">
        <is>
          <t>VÄSTRA GÖTALANDS LÄN</t>
        </is>
      </c>
      <c r="G170" t="inlineStr">
        <is>
          <t>TIDAHOLM</t>
        </is>
      </c>
      <c r="H170" t="inlineStr">
        <is>
          <t>Sveaskog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11437-2022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44630</v>
      </c>
      <c r="E171" s="1" t="n">
        <v>46219</v>
      </c>
      <c r="F171" t="inlineStr">
        <is>
          <t>VÄSTRA GÖTALANDS LÄN</t>
        </is>
      </c>
      <c r="G171" t="inlineStr">
        <is>
          <t>TIDAHOLM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37168-2024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45539</v>
      </c>
      <c r="E172" s="1" t="n">
        <v>46219</v>
      </c>
      <c r="F172" t="inlineStr">
        <is>
          <t>VÄSTRA GÖTALANDS LÄN</t>
        </is>
      </c>
      <c r="G172" t="inlineStr">
        <is>
          <t>TIDAHOLM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47401-2025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45930</v>
      </c>
      <c r="E173" s="1" t="n">
        <v>46219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Sveaskog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47370-2025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45930</v>
      </c>
      <c r="E174" s="1" t="n">
        <v>46219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Sveaskog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47397-2025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45930</v>
      </c>
      <c r="E175" s="1" t="n">
        <v>46219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47406-2025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45930</v>
      </c>
      <c r="E176" s="1" t="n">
        <v>46219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6.2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47387-2025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45930</v>
      </c>
      <c r="E177" s="1" t="n">
        <v>46219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Sveaskog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47485-2024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45587</v>
      </c>
      <c r="E178" s="1" t="n">
        <v>46219</v>
      </c>
      <c r="F178" t="inlineStr">
        <is>
          <t>VÄSTRA GÖTALANDS LÄN</t>
        </is>
      </c>
      <c r="G178" t="inlineStr">
        <is>
          <t>TIDAHOLM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29177-2023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45105</v>
      </c>
      <c r="E179" s="1" t="n">
        <v>46219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Sveaskog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47518-2025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45931</v>
      </c>
      <c r="E180" s="1" t="n">
        <v>46219</v>
      </c>
      <c r="F180" t="inlineStr">
        <is>
          <t>VÄSTRA GÖTALANDS LÄN</t>
        </is>
      </c>
      <c r="G180" t="inlineStr">
        <is>
          <t>TIDAHOLM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69446-2021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44531</v>
      </c>
      <c r="E181" s="1" t="n">
        <v>46219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Kyrkan</t>
        </is>
      </c>
      <c r="I181" t="n">
        <v>8.800000000000001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40603-2024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45556</v>
      </c>
      <c r="E182" s="1" t="n">
        <v>46219</v>
      </c>
      <c r="F182" t="inlineStr">
        <is>
          <t>VÄSTRA GÖTALANDS LÄN</t>
        </is>
      </c>
      <c r="G182" t="inlineStr">
        <is>
          <t>TIDAHOLM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48906-2025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45937</v>
      </c>
      <c r="E183" s="1" t="n">
        <v>46219</v>
      </c>
      <c r="F183" t="inlineStr">
        <is>
          <t>VÄSTRA GÖTALANDS LÄN</t>
        </is>
      </c>
      <c r="G183" t="inlineStr">
        <is>
          <t>TIDAHOLM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74340-2021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44559</v>
      </c>
      <c r="E184" s="1" t="n">
        <v>46219</v>
      </c>
      <c r="F184" t="inlineStr">
        <is>
          <t>VÄSTRA GÖTALANDS LÄN</t>
        </is>
      </c>
      <c r="G184" t="inlineStr">
        <is>
          <t>TIDAHOLM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13964-2023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45007</v>
      </c>
      <c r="E185" s="1" t="n">
        <v>46219</v>
      </c>
      <c r="F185" t="inlineStr">
        <is>
          <t>VÄSTRA GÖTALANDS LÄN</t>
        </is>
      </c>
      <c r="G185" t="inlineStr">
        <is>
          <t>TIDAHOLM</t>
        </is>
      </c>
      <c r="I185" t="n">
        <v>13.8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60207-2022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44910</v>
      </c>
      <c r="E186" s="1" t="n">
        <v>46219</v>
      </c>
      <c r="F186" t="inlineStr">
        <is>
          <t>VÄSTRA GÖTALANDS LÄN</t>
        </is>
      </c>
      <c r="G186" t="inlineStr">
        <is>
          <t>TIDAHOLM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22455-2023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45070</v>
      </c>
      <c r="E187" s="1" t="n">
        <v>46219</v>
      </c>
      <c r="F187" t="inlineStr">
        <is>
          <t>VÄSTRA GÖTALANDS LÄN</t>
        </is>
      </c>
      <c r="G187" t="inlineStr">
        <is>
          <t>TIDAHOLM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50294-2022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44865</v>
      </c>
      <c r="E188" s="1" t="n">
        <v>46219</v>
      </c>
      <c r="F188" t="inlineStr">
        <is>
          <t>VÄSTRA GÖTALANDS LÄN</t>
        </is>
      </c>
      <c r="G188" t="inlineStr">
        <is>
          <t>TIDAHOLM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57962-2022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44900</v>
      </c>
      <c r="E189" s="1" t="n">
        <v>46219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Sveaskog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16382-2023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45029</v>
      </c>
      <c r="E190" s="1" t="n">
        <v>46219</v>
      </c>
      <c r="F190" t="inlineStr">
        <is>
          <t>VÄSTRA GÖTALANDS LÄN</t>
        </is>
      </c>
      <c r="G190" t="inlineStr">
        <is>
          <t>TIDAHOLM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18257-2023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45041</v>
      </c>
      <c r="E191" s="1" t="n">
        <v>46219</v>
      </c>
      <c r="F191" t="inlineStr">
        <is>
          <t>VÄSTRA GÖTALANDS LÄN</t>
        </is>
      </c>
      <c r="G191" t="inlineStr">
        <is>
          <t>TIDAHOLM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39570-2023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45167</v>
      </c>
      <c r="E192" s="1" t="n">
        <v>46219</v>
      </c>
      <c r="F192" t="inlineStr">
        <is>
          <t>VÄSTRA GÖTALANDS LÄN</t>
        </is>
      </c>
      <c r="G192" t="inlineStr">
        <is>
          <t>TIDAHOLM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57965-2022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44900</v>
      </c>
      <c r="E193" s="1" t="n">
        <v>46219</v>
      </c>
      <c r="F193" t="inlineStr">
        <is>
          <t>VÄSTRA GÖTALANDS LÄN</t>
        </is>
      </c>
      <c r="G193" t="inlineStr">
        <is>
          <t>TIDAHOLM</t>
        </is>
      </c>
      <c r="H193" t="inlineStr">
        <is>
          <t>Sveaskog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4634-2025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45687</v>
      </c>
      <c r="E194" s="1" t="n">
        <v>46219</v>
      </c>
      <c r="F194" t="inlineStr">
        <is>
          <t>VÄSTRA GÖTALANDS LÄN</t>
        </is>
      </c>
      <c r="G194" t="inlineStr">
        <is>
          <t>TIDAHOLM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49300-2021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44454</v>
      </c>
      <c r="E195" s="1" t="n">
        <v>46219</v>
      </c>
      <c r="F195" t="inlineStr">
        <is>
          <t>VÄSTRA GÖTALANDS LÄN</t>
        </is>
      </c>
      <c r="G195" t="inlineStr">
        <is>
          <t>TIDAHOLM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54130-2023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45232</v>
      </c>
      <c r="E196" s="1" t="n">
        <v>46219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Kyrkan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35479-2023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45146</v>
      </c>
      <c r="E197" s="1" t="n">
        <v>46219</v>
      </c>
      <c r="F197" t="inlineStr">
        <is>
          <t>VÄSTRA GÖTALANDS LÄN</t>
        </is>
      </c>
      <c r="G197" t="inlineStr">
        <is>
          <t>TIDAHOLM</t>
        </is>
      </c>
      <c r="I197" t="n">
        <v>8.199999999999999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38875-2024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45547</v>
      </c>
      <c r="E198" s="1" t="n">
        <v>46219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Sveaskog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60643-2022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44911</v>
      </c>
      <c r="E199" s="1" t="n">
        <v>46219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Sveaskog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60644-2022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44911</v>
      </c>
      <c r="E200" s="1" t="n">
        <v>46219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58988-2022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44903</v>
      </c>
      <c r="E201" s="1" t="n">
        <v>46219</v>
      </c>
      <c r="F201" t="inlineStr">
        <is>
          <t>VÄSTRA GÖTALANDS LÄN</t>
        </is>
      </c>
      <c r="G201" t="inlineStr">
        <is>
          <t>TIDAHOLM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30675-2024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45495</v>
      </c>
      <c r="E202" s="1" t="n">
        <v>46219</v>
      </c>
      <c r="F202" t="inlineStr">
        <is>
          <t>VÄSTRA GÖTALANDS LÄN</t>
        </is>
      </c>
      <c r="G202" t="inlineStr">
        <is>
          <t>TIDAHOLM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30677-2024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45495</v>
      </c>
      <c r="E203" s="1" t="n">
        <v>46219</v>
      </c>
      <c r="F203" t="inlineStr">
        <is>
          <t>VÄSTRA GÖTALANDS LÄN</t>
        </is>
      </c>
      <c r="G203" t="inlineStr">
        <is>
          <t>TIDAHOLM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9631-2024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45362</v>
      </c>
      <c r="E204" s="1" t="n">
        <v>46219</v>
      </c>
      <c r="F204" t="inlineStr">
        <is>
          <t>VÄSTRA GÖTALANDS LÄN</t>
        </is>
      </c>
      <c r="G204" t="inlineStr">
        <is>
          <t>TIDAHOLM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28671-2023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45103</v>
      </c>
      <c r="E205" s="1" t="n">
        <v>46219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Kyrkan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28684-2023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45103</v>
      </c>
      <c r="E206" s="1" t="n">
        <v>46219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Kyrkan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54561-2025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45965</v>
      </c>
      <c r="E207" s="1" t="n">
        <v>46219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Sveaskog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61362-2022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44915</v>
      </c>
      <c r="E208" s="1" t="n">
        <v>46219</v>
      </c>
      <c r="F208" t="inlineStr">
        <is>
          <t>VÄSTRA GÖTALANDS LÄN</t>
        </is>
      </c>
      <c r="G208" t="inlineStr">
        <is>
          <t>TIDAHOLM</t>
        </is>
      </c>
      <c r="H208" t="inlineStr">
        <is>
          <t>Sveaskog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57964-2022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44900</v>
      </c>
      <c r="E209" s="1" t="n">
        <v>46219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54922-2025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45967</v>
      </c>
      <c r="E210" s="1" t="n">
        <v>46219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Sveaskog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54968-2025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45967</v>
      </c>
      <c r="E211" s="1" t="n">
        <v>46219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Sveaskog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54941-2025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45967</v>
      </c>
      <c r="E212" s="1" t="n">
        <v>46219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Sveaskog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54945-2025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45967</v>
      </c>
      <c r="E213" s="1" t="n">
        <v>46219</v>
      </c>
      <c r="F213" t="inlineStr">
        <is>
          <t>VÄSTRA GÖTALANDS LÄN</t>
        </is>
      </c>
      <c r="G213" t="inlineStr">
        <is>
          <t>TIDAHOLM</t>
        </is>
      </c>
      <c r="H213" t="inlineStr">
        <is>
          <t>Sveaskog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54927-2025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45967</v>
      </c>
      <c r="E214" s="1" t="n">
        <v>46219</v>
      </c>
      <c r="F214" t="inlineStr">
        <is>
          <t>VÄSTRA GÖTALANDS LÄN</t>
        </is>
      </c>
      <c r="G214" t="inlineStr">
        <is>
          <t>TIDAHOLM</t>
        </is>
      </c>
      <c r="H214" t="inlineStr">
        <is>
          <t>Sveaskog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54930-2025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45967</v>
      </c>
      <c r="E215" s="1" t="n">
        <v>46219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Sveaskog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55243-2025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45968</v>
      </c>
      <c r="E216" s="1" t="n">
        <v>46219</v>
      </c>
      <c r="F216" t="inlineStr">
        <is>
          <t>VÄSTRA GÖTALANDS LÄN</t>
        </is>
      </c>
      <c r="G216" t="inlineStr">
        <is>
          <t>TIDAHOLM</t>
        </is>
      </c>
      <c r="H216" t="inlineStr">
        <is>
          <t>Sveaskog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54957-2025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45967</v>
      </c>
      <c r="E217" s="1" t="n">
        <v>46219</v>
      </c>
      <c r="F217" t="inlineStr">
        <is>
          <t>VÄSTRA GÖTALANDS LÄN</t>
        </is>
      </c>
      <c r="G217" t="inlineStr">
        <is>
          <t>TIDAHOLM</t>
        </is>
      </c>
      <c r="H217" t="inlineStr">
        <is>
          <t>Sveaskog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54974-2025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45967</v>
      </c>
      <c r="E218" s="1" t="n">
        <v>46219</v>
      </c>
      <c r="F218" t="inlineStr">
        <is>
          <t>VÄSTRA GÖTALANDS LÄN</t>
        </is>
      </c>
      <c r="G218" t="inlineStr">
        <is>
          <t>TIDAHOLM</t>
        </is>
      </c>
      <c r="H218" t="inlineStr">
        <is>
          <t>Sveaskog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62059-2023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45266</v>
      </c>
      <c r="E219" s="1" t="n">
        <v>46219</v>
      </c>
      <c r="F219" t="inlineStr">
        <is>
          <t>VÄSTRA GÖTALANDS LÄN</t>
        </is>
      </c>
      <c r="G219" t="inlineStr">
        <is>
          <t>TIDAHOLM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42338-2022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44831</v>
      </c>
      <c r="E220" s="1" t="n">
        <v>46219</v>
      </c>
      <c r="F220" t="inlineStr">
        <is>
          <t>VÄSTRA GÖTALANDS LÄN</t>
        </is>
      </c>
      <c r="G220" t="inlineStr">
        <is>
          <t>TIDAHOLM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43469-2025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45911</v>
      </c>
      <c r="E221" s="1" t="n">
        <v>46219</v>
      </c>
      <c r="F221" t="inlineStr">
        <is>
          <t>VÄSTRA GÖTALANDS LÄN</t>
        </is>
      </c>
      <c r="G221" t="inlineStr">
        <is>
          <t>TIDAHOLM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13588-2023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45006</v>
      </c>
      <c r="E222" s="1" t="n">
        <v>46219</v>
      </c>
      <c r="F222" t="inlineStr">
        <is>
          <t>VÄSTRA GÖTALANDS LÄN</t>
        </is>
      </c>
      <c r="G222" t="inlineStr">
        <is>
          <t>TIDAHOLM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45276-2024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45576</v>
      </c>
      <c r="E223" s="1" t="n">
        <v>46219</v>
      </c>
      <c r="F223" t="inlineStr">
        <is>
          <t>VÄSTRA GÖTALANDS LÄN</t>
        </is>
      </c>
      <c r="G223" t="inlineStr">
        <is>
          <t>TIDAHOLM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57124-2025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45979</v>
      </c>
      <c r="E224" s="1" t="n">
        <v>46219</v>
      </c>
      <c r="F224" t="inlineStr">
        <is>
          <t>VÄSTRA GÖTALANDS LÄN</t>
        </is>
      </c>
      <c r="G224" t="inlineStr">
        <is>
          <t>TIDAHOLM</t>
        </is>
      </c>
      <c r="H224" t="inlineStr">
        <is>
          <t>Kyrkan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57780-2025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45981</v>
      </c>
      <c r="E225" s="1" t="n">
        <v>46219</v>
      </c>
      <c r="F225" t="inlineStr">
        <is>
          <t>VÄSTRA GÖTALANDS LÄN</t>
        </is>
      </c>
      <c r="G225" t="inlineStr">
        <is>
          <t>TIDAHOLM</t>
        </is>
      </c>
      <c r="H225" t="inlineStr">
        <is>
          <t>Sveaskog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26525-2024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45469</v>
      </c>
      <c r="E226" s="1" t="n">
        <v>46219</v>
      </c>
      <c r="F226" t="inlineStr">
        <is>
          <t>VÄSTRA GÖTALANDS LÄN</t>
        </is>
      </c>
      <c r="G226" t="inlineStr">
        <is>
          <t>TIDAHOLM</t>
        </is>
      </c>
      <c r="H226" t="inlineStr">
        <is>
          <t>Sveaskog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11696-2024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45373</v>
      </c>
      <c r="E227" s="1" t="n">
        <v>46219</v>
      </c>
      <c r="F227" t="inlineStr">
        <is>
          <t>VÄSTRA GÖTALANDS LÄN</t>
        </is>
      </c>
      <c r="G227" t="inlineStr">
        <is>
          <t>TIDAHOLM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52036-2024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45608</v>
      </c>
      <c r="E228" s="1" t="n">
        <v>46219</v>
      </c>
      <c r="F228" t="inlineStr">
        <is>
          <t>VÄSTRA GÖTALANDS LÄN</t>
        </is>
      </c>
      <c r="G228" t="inlineStr">
        <is>
          <t>TIDAHOLM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56756-2024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45628</v>
      </c>
      <c r="E229" s="1" t="n">
        <v>46219</v>
      </c>
      <c r="F229" t="inlineStr">
        <is>
          <t>VÄSTRA GÖTALANDS LÄN</t>
        </is>
      </c>
      <c r="G229" t="inlineStr">
        <is>
          <t>TIDAHOLM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72683-2021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44546</v>
      </c>
      <c r="E230" s="1" t="n">
        <v>46219</v>
      </c>
      <c r="F230" t="inlineStr">
        <is>
          <t>VÄSTRA GÖTALANDS LÄN</t>
        </is>
      </c>
      <c r="G230" t="inlineStr">
        <is>
          <t>TIDAHOLM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58276-2025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45985</v>
      </c>
      <c r="E231" s="1" t="n">
        <v>46219</v>
      </c>
      <c r="F231" t="inlineStr">
        <is>
          <t>VÄSTRA GÖTALANDS LÄN</t>
        </is>
      </c>
      <c r="G231" t="inlineStr">
        <is>
          <t>TIDAHOLM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29288-2023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45105</v>
      </c>
      <c r="E232" s="1" t="n">
        <v>46219</v>
      </c>
      <c r="F232" t="inlineStr">
        <is>
          <t>VÄSTRA GÖTALANDS LÄN</t>
        </is>
      </c>
      <c r="G232" t="inlineStr">
        <is>
          <t>TIDAHOLM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7648-2023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44972</v>
      </c>
      <c r="E233" s="1" t="n">
        <v>46219</v>
      </c>
      <c r="F233" t="inlineStr">
        <is>
          <t>VÄSTRA GÖTALANDS LÄN</t>
        </is>
      </c>
      <c r="G233" t="inlineStr">
        <is>
          <t>TIDAHOLM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55780-2021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44476</v>
      </c>
      <c r="E234" s="1" t="n">
        <v>46219</v>
      </c>
      <c r="F234" t="inlineStr">
        <is>
          <t>VÄSTRA GÖTALANDS LÄN</t>
        </is>
      </c>
      <c r="G234" t="inlineStr">
        <is>
          <t>TIDAHOLM</t>
        </is>
      </c>
      <c r="I234" t="n">
        <v>5.1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32439-2023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45120</v>
      </c>
      <c r="E235" s="1" t="n">
        <v>46219</v>
      </c>
      <c r="F235" t="inlineStr">
        <is>
          <t>VÄSTRA GÖTALANDS LÄN</t>
        </is>
      </c>
      <c r="G235" t="inlineStr">
        <is>
          <t>TIDAHOLM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45468-2024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45576</v>
      </c>
      <c r="E236" s="1" t="n">
        <v>46219</v>
      </c>
      <c r="F236" t="inlineStr">
        <is>
          <t>VÄSTRA GÖTALANDS LÄN</t>
        </is>
      </c>
      <c r="G236" t="inlineStr">
        <is>
          <t>TIDAHOLM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27270-2023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45096</v>
      </c>
      <c r="E237" s="1" t="n">
        <v>46219</v>
      </c>
      <c r="F237" t="inlineStr">
        <is>
          <t>VÄSTRA GÖTALANDS LÄN</t>
        </is>
      </c>
      <c r="G237" t="inlineStr">
        <is>
          <t>TIDAHOLM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46009-2024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45580</v>
      </c>
      <c r="E238" s="1" t="n">
        <v>46219</v>
      </c>
      <c r="F238" t="inlineStr">
        <is>
          <t>VÄSTRA GÖTALANDS LÄN</t>
        </is>
      </c>
      <c r="G238" t="inlineStr">
        <is>
          <t>TIDAHOLM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25263-2026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46175</v>
      </c>
      <c r="E239" s="1" t="n">
        <v>46219</v>
      </c>
      <c r="F239" t="inlineStr">
        <is>
          <t>VÄSTRA GÖTALANDS LÄN</t>
        </is>
      </c>
      <c r="G239" t="inlineStr">
        <is>
          <t>TIDAHOLM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22086-2024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45443</v>
      </c>
      <c r="E240" s="1" t="n">
        <v>46219</v>
      </c>
      <c r="F240" t="inlineStr">
        <is>
          <t>VÄSTRA GÖTALANDS LÄN</t>
        </is>
      </c>
      <c r="G240" t="inlineStr">
        <is>
          <t>TIDAHOLM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51909-2025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45951</v>
      </c>
      <c r="E241" s="1" t="n">
        <v>46219</v>
      </c>
      <c r="F241" t="inlineStr">
        <is>
          <t>VÄSTRA GÖTALANDS LÄN</t>
        </is>
      </c>
      <c r="G241" t="inlineStr">
        <is>
          <t>TIDAHOLM</t>
        </is>
      </c>
      <c r="I241" t="n">
        <v>7.7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18247-2023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45041</v>
      </c>
      <c r="E242" s="1" t="n">
        <v>46219</v>
      </c>
      <c r="F242" t="inlineStr">
        <is>
          <t>VÄSTRA GÖTALANDS LÄN</t>
        </is>
      </c>
      <c r="G242" t="inlineStr">
        <is>
          <t>TIDAHOLM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26534-2024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45469</v>
      </c>
      <c r="E243" s="1" t="n">
        <v>46219</v>
      </c>
      <c r="F243" t="inlineStr">
        <is>
          <t>VÄSTRA GÖTALANDS LÄN</t>
        </is>
      </c>
      <c r="G243" t="inlineStr">
        <is>
          <t>TIDAHOLM</t>
        </is>
      </c>
      <c r="H243" t="inlineStr">
        <is>
          <t>Sveaskog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26548-2024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45469</v>
      </c>
      <c r="E244" s="1" t="n">
        <v>46219</v>
      </c>
      <c r="F244" t="inlineStr">
        <is>
          <t>VÄSTRA GÖTALANDS LÄN</t>
        </is>
      </c>
      <c r="G244" t="inlineStr">
        <is>
          <t>TIDAHOLM</t>
        </is>
      </c>
      <c r="H244" t="inlineStr">
        <is>
          <t>Sveaskog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25260-2026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46175</v>
      </c>
      <c r="E245" s="1" t="n">
        <v>46219</v>
      </c>
      <c r="F245" t="inlineStr">
        <is>
          <t>VÄSTRA GÖTALANDS LÄN</t>
        </is>
      </c>
      <c r="G245" t="inlineStr">
        <is>
          <t>TIDAHOLM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25261-2026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46175</v>
      </c>
      <c r="E246" s="1" t="n">
        <v>46219</v>
      </c>
      <c r="F246" t="inlineStr">
        <is>
          <t>VÄSTRA GÖTALANDS LÄN</t>
        </is>
      </c>
      <c r="G246" t="inlineStr">
        <is>
          <t>TIDAHOLM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37179-2023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45155</v>
      </c>
      <c r="E247" s="1" t="n">
        <v>46219</v>
      </c>
      <c r="F247" t="inlineStr">
        <is>
          <t>VÄSTRA GÖTALANDS LÄN</t>
        </is>
      </c>
      <c r="G247" t="inlineStr">
        <is>
          <t>TIDAHOLM</t>
        </is>
      </c>
      <c r="H247" t="inlineStr">
        <is>
          <t>Sveaskog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19038-2023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45047</v>
      </c>
      <c r="E248" s="1" t="n">
        <v>46219</v>
      </c>
      <c r="F248" t="inlineStr">
        <is>
          <t>VÄSTRA GÖTALANDS LÄN</t>
        </is>
      </c>
      <c r="G248" t="inlineStr">
        <is>
          <t>TIDAHOLM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17670-2025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45758</v>
      </c>
      <c r="E249" s="1" t="n">
        <v>46219</v>
      </c>
      <c r="F249" t="inlineStr">
        <is>
          <t>VÄSTRA GÖTALANDS LÄN</t>
        </is>
      </c>
      <c r="G249" t="inlineStr">
        <is>
          <t>TIDAHOLM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62329-2025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46006</v>
      </c>
      <c r="E250" s="1" t="n">
        <v>46219</v>
      </c>
      <c r="F250" t="inlineStr">
        <is>
          <t>VÄSTRA GÖTALANDS LÄN</t>
        </is>
      </c>
      <c r="G250" t="inlineStr">
        <is>
          <t>TIDAHOLM</t>
        </is>
      </c>
      <c r="H250" t="inlineStr">
        <is>
          <t>Kyrkan</t>
        </is>
      </c>
      <c r="I250" t="n">
        <v>7.4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9231-2024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45358</v>
      </c>
      <c r="E251" s="1" t="n">
        <v>46219</v>
      </c>
      <c r="F251" t="inlineStr">
        <is>
          <t>VÄSTRA GÖTALANDS LÄN</t>
        </is>
      </c>
      <c r="G251" t="inlineStr">
        <is>
          <t>TIDAHOLM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1442-2025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45669</v>
      </c>
      <c r="E252" s="1" t="n">
        <v>46219</v>
      </c>
      <c r="F252" t="inlineStr">
        <is>
          <t>VÄSTRA GÖTALANDS LÄN</t>
        </is>
      </c>
      <c r="G252" t="inlineStr">
        <is>
          <t>TIDAHOLM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39297-2022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44817</v>
      </c>
      <c r="E253" s="1" t="n">
        <v>46219</v>
      </c>
      <c r="F253" t="inlineStr">
        <is>
          <t>VÄSTRA GÖTALANDS LÄN</t>
        </is>
      </c>
      <c r="G253" t="inlineStr">
        <is>
          <t>TIDAHOLM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57573-2024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45630</v>
      </c>
      <c r="E254" s="1" t="n">
        <v>46219</v>
      </c>
      <c r="F254" t="inlineStr">
        <is>
          <t>VÄSTRA GÖTALANDS LÄN</t>
        </is>
      </c>
      <c r="G254" t="inlineStr">
        <is>
          <t>TIDAHOLM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60923-2024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45645</v>
      </c>
      <c r="E255" s="1" t="n">
        <v>46219</v>
      </c>
      <c r="F255" t="inlineStr">
        <is>
          <t>VÄSTRA GÖTALANDS LÄN</t>
        </is>
      </c>
      <c r="G255" t="inlineStr">
        <is>
          <t>TIDAHOLM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1941-2025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45672</v>
      </c>
      <c r="E256" s="1" t="n">
        <v>46219</v>
      </c>
      <c r="F256" t="inlineStr">
        <is>
          <t>VÄSTRA GÖTALANDS LÄN</t>
        </is>
      </c>
      <c r="G256" t="inlineStr">
        <is>
          <t>TIDAHOLM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63679-2025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46014</v>
      </c>
      <c r="E257" s="1" t="n">
        <v>46219</v>
      </c>
      <c r="F257" t="inlineStr">
        <is>
          <t>VÄSTRA GÖTALANDS LÄN</t>
        </is>
      </c>
      <c r="G257" t="inlineStr">
        <is>
          <t>TIDAHOLM</t>
        </is>
      </c>
      <c r="H257" t="inlineStr">
        <is>
          <t>Kommuner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63482-2025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46013</v>
      </c>
      <c r="E258" s="1" t="n">
        <v>46219</v>
      </c>
      <c r="F258" t="inlineStr">
        <is>
          <t>VÄSTRA GÖTALANDS LÄN</t>
        </is>
      </c>
      <c r="G258" t="inlineStr">
        <is>
          <t>TIDAHOLM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46021</v>
      </c>
      <c r="E259" s="1" t="n">
        <v>46219</v>
      </c>
      <c r="F259" t="inlineStr">
        <is>
          <t>VÄSTRA GÖTALANDS LÄN</t>
        </is>
      </c>
      <c r="G259" t="inlineStr">
        <is>
          <t>TIDAHOLM</t>
        </is>
      </c>
      <c r="I259" t="n">
        <v>8.699999999999999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59139-2024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45637</v>
      </c>
      <c r="E260" s="1" t="n">
        <v>46219</v>
      </c>
      <c r="F260" t="inlineStr">
        <is>
          <t>VÄSTRA GÖTALANDS LÄN</t>
        </is>
      </c>
      <c r="G260" t="inlineStr">
        <is>
          <t>TIDAHOLM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10609-2025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45721</v>
      </c>
      <c r="E261" s="1" t="n">
        <v>46219</v>
      </c>
      <c r="F261" t="inlineStr">
        <is>
          <t>VÄSTRA GÖTALANDS LÄN</t>
        </is>
      </c>
      <c r="G261" t="inlineStr">
        <is>
          <t>TIDAHOLM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62121-2023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45267</v>
      </c>
      <c r="E262" s="1" t="n">
        <v>46219</v>
      </c>
      <c r="F262" t="inlineStr">
        <is>
          <t>VÄSTRA GÖTALANDS LÄN</t>
        </is>
      </c>
      <c r="G262" t="inlineStr">
        <is>
          <t>TIDAHOLM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16651-2023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45030</v>
      </c>
      <c r="E263" s="1" t="n">
        <v>46219</v>
      </c>
      <c r="F263" t="inlineStr">
        <is>
          <t>VÄSTRA GÖTALANDS LÄN</t>
        </is>
      </c>
      <c r="G263" t="inlineStr">
        <is>
          <t>TIDAHOLM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47912-2023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45204</v>
      </c>
      <c r="E264" s="1" t="n">
        <v>46219</v>
      </c>
      <c r="F264" t="inlineStr">
        <is>
          <t>VÄSTRA GÖTALANDS LÄN</t>
        </is>
      </c>
      <c r="G264" t="inlineStr">
        <is>
          <t>TIDAHOLM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49155-2024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45594</v>
      </c>
      <c r="E265" s="1" t="n">
        <v>46219</v>
      </c>
      <c r="F265" t="inlineStr">
        <is>
          <t>VÄSTRA GÖTALANDS LÄN</t>
        </is>
      </c>
      <c r="G265" t="inlineStr">
        <is>
          <t>TIDAHOLM</t>
        </is>
      </c>
      <c r="I265" t="n">
        <v>8.800000000000001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8724-2024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45356</v>
      </c>
      <c r="E266" s="1" t="n">
        <v>46219</v>
      </c>
      <c r="F266" t="inlineStr">
        <is>
          <t>VÄSTRA GÖTALANDS LÄN</t>
        </is>
      </c>
      <c r="G266" t="inlineStr">
        <is>
          <t>TIDAHOLM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48116-2023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45205</v>
      </c>
      <c r="E267" s="1" t="n">
        <v>46219</v>
      </c>
      <c r="F267" t="inlineStr">
        <is>
          <t>VÄSTRA GÖTALANDS LÄN</t>
        </is>
      </c>
      <c r="G267" t="inlineStr">
        <is>
          <t>TIDAHOLM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21173-2025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45779</v>
      </c>
      <c r="E268" s="1" t="n">
        <v>46219</v>
      </c>
      <c r="F268" t="inlineStr">
        <is>
          <t>VÄSTRA GÖTALANDS LÄN</t>
        </is>
      </c>
      <c r="G268" t="inlineStr">
        <is>
          <t>TIDAHOLM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54122-2023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45232</v>
      </c>
      <c r="E269" s="1" t="n">
        <v>46219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Kyrkan</t>
        </is>
      </c>
      <c r="I269" t="n">
        <v>22.5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8373-2022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44610</v>
      </c>
      <c r="E270" s="1" t="n">
        <v>46219</v>
      </c>
      <c r="F270" t="inlineStr">
        <is>
          <t>VÄSTRA GÖTALANDS LÄN</t>
        </is>
      </c>
      <c r="G270" t="inlineStr">
        <is>
          <t>TIDAHOLM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56016-2023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45240</v>
      </c>
      <c r="E271" s="1" t="n">
        <v>46219</v>
      </c>
      <c r="F271" t="inlineStr">
        <is>
          <t>VÄSTRA GÖTALANDS LÄN</t>
        </is>
      </c>
      <c r="G271" t="inlineStr">
        <is>
          <t>TIDAHOLM</t>
        </is>
      </c>
      <c r="H271" t="inlineStr">
        <is>
          <t>Kyrkan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3554-2026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46042</v>
      </c>
      <c r="E272" s="1" t="n">
        <v>46219</v>
      </c>
      <c r="F272" t="inlineStr">
        <is>
          <t>VÄSTRA GÖTALANDS LÄN</t>
        </is>
      </c>
      <c r="G272" t="inlineStr">
        <is>
          <t>TIDAHOLM</t>
        </is>
      </c>
      <c r="I272" t="n">
        <v>23.4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52042-2024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45608</v>
      </c>
      <c r="E273" s="1" t="n">
        <v>46219</v>
      </c>
      <c r="F273" t="inlineStr">
        <is>
          <t>VÄSTRA GÖTALANDS LÄN</t>
        </is>
      </c>
      <c r="G273" t="inlineStr">
        <is>
          <t>TIDAHOLM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56013-2024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45623</v>
      </c>
      <c r="E274" s="1" t="n">
        <v>46219</v>
      </c>
      <c r="F274" t="inlineStr">
        <is>
          <t>VÄSTRA GÖTALANDS LÄN</t>
        </is>
      </c>
      <c r="G274" t="inlineStr">
        <is>
          <t>TIDAHOLM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43922-2023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45187</v>
      </c>
      <c r="E275" s="1" t="n">
        <v>46219</v>
      </c>
      <c r="F275" t="inlineStr">
        <is>
          <t>VÄSTRA GÖTALANDS LÄN</t>
        </is>
      </c>
      <c r="G275" t="inlineStr">
        <is>
          <t>TIDAHOLM</t>
        </is>
      </c>
      <c r="I275" t="n">
        <v>6.3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27369-2024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45473</v>
      </c>
      <c r="E276" s="1" t="n">
        <v>46219</v>
      </c>
      <c r="F276" t="inlineStr">
        <is>
          <t>VÄSTRA GÖTALANDS LÄN</t>
        </is>
      </c>
      <c r="G276" t="inlineStr">
        <is>
          <t>TIDAHOLM</t>
        </is>
      </c>
      <c r="I276" t="n">
        <v>8.800000000000001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4130-2026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46044</v>
      </c>
      <c r="E277" s="1" t="n">
        <v>46219</v>
      </c>
      <c r="F277" t="inlineStr">
        <is>
          <t>VÄSTRA GÖTALANDS LÄN</t>
        </is>
      </c>
      <c r="G277" t="inlineStr">
        <is>
          <t>TIDAHOLM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35125-2024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45530</v>
      </c>
      <c r="E278" s="1" t="n">
        <v>46219</v>
      </c>
      <c r="F278" t="inlineStr">
        <is>
          <t>VÄSTRA GÖTALANDS LÄN</t>
        </is>
      </c>
      <c r="G278" t="inlineStr">
        <is>
          <t>TIDAHOLM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3663-2026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46043</v>
      </c>
      <c r="E279" s="1" t="n">
        <v>46219</v>
      </c>
      <c r="F279" t="inlineStr">
        <is>
          <t>VÄSTRA GÖTALANDS LÄN</t>
        </is>
      </c>
      <c r="G279" t="inlineStr">
        <is>
          <t>TIDAHOLM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25826-2023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45090</v>
      </c>
      <c r="E280" s="1" t="n">
        <v>46219</v>
      </c>
      <c r="F280" t="inlineStr">
        <is>
          <t>VÄSTRA GÖTALANDS LÄN</t>
        </is>
      </c>
      <c r="G280" t="inlineStr">
        <is>
          <t>TIDAHOLM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59140-2024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45637</v>
      </c>
      <c r="E281" s="1" t="n">
        <v>46219</v>
      </c>
      <c r="F281" t="inlineStr">
        <is>
          <t>VÄSTRA GÖTALANDS LÄN</t>
        </is>
      </c>
      <c r="G281" t="inlineStr">
        <is>
          <t>TIDAHOLM</t>
        </is>
      </c>
      <c r="I281" t="n">
        <v>9.5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54298-2023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45232</v>
      </c>
      <c r="E282" s="1" t="n">
        <v>46219</v>
      </c>
      <c r="F282" t="inlineStr">
        <is>
          <t>VÄSTRA GÖTALANDS LÄN</t>
        </is>
      </c>
      <c r="G282" t="inlineStr">
        <is>
          <t>TIDAHOLM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35725-2023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45147</v>
      </c>
      <c r="E283" s="1" t="n">
        <v>46219</v>
      </c>
      <c r="F283" t="inlineStr">
        <is>
          <t>VÄSTRA GÖTALANDS LÄN</t>
        </is>
      </c>
      <c r="G283" t="inlineStr">
        <is>
          <t>TIDAHOLM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19572-2022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44693</v>
      </c>
      <c r="E284" s="1" t="n">
        <v>46219</v>
      </c>
      <c r="F284" t="inlineStr">
        <is>
          <t>VÄSTRA GÖTALANDS LÄN</t>
        </is>
      </c>
      <c r="G284" t="inlineStr">
        <is>
          <t>TIDAHOLM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12026-2022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44636</v>
      </c>
      <c r="E285" s="1" t="n">
        <v>46219</v>
      </c>
      <c r="F285" t="inlineStr">
        <is>
          <t>VÄSTRA GÖTALANDS LÄN</t>
        </is>
      </c>
      <c r="G285" t="inlineStr">
        <is>
          <t>TIDAHOLM</t>
        </is>
      </c>
      <c r="I285" t="n">
        <v>18.8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17826-2025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45758</v>
      </c>
      <c r="E286" s="1" t="n">
        <v>46219</v>
      </c>
      <c r="F286" t="inlineStr">
        <is>
          <t>VÄSTRA GÖTALANDS LÄN</t>
        </is>
      </c>
      <c r="G286" t="inlineStr">
        <is>
          <t>TIDAHOLM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5754-2026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46051</v>
      </c>
      <c r="E287" s="1" t="n">
        <v>46219</v>
      </c>
      <c r="F287" t="inlineStr">
        <is>
          <t>VÄSTRA GÖTALANDS LÄN</t>
        </is>
      </c>
      <c r="G287" t="inlineStr">
        <is>
          <t>TIDAHOLM</t>
        </is>
      </c>
      <c r="H287" t="inlineStr">
        <is>
          <t>Kommuner</t>
        </is>
      </c>
      <c r="I287" t="n">
        <v>5.1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9236-2024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45358</v>
      </c>
      <c r="E288" s="1" t="n">
        <v>46219</v>
      </c>
      <c r="F288" t="inlineStr">
        <is>
          <t>VÄSTRA GÖTALANDS LÄN</t>
        </is>
      </c>
      <c r="G288" t="inlineStr">
        <is>
          <t>TIDAHOLM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60353-2023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45257</v>
      </c>
      <c r="E289" s="1" t="n">
        <v>46219</v>
      </c>
      <c r="F289" t="inlineStr">
        <is>
          <t>VÄSTRA GÖTALANDS LÄN</t>
        </is>
      </c>
      <c r="G289" t="inlineStr">
        <is>
          <t>TIDAHOLM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7497-2026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46059</v>
      </c>
      <c r="E290" s="1" t="n">
        <v>46219</v>
      </c>
      <c r="F290" t="inlineStr">
        <is>
          <t>VÄSTRA GÖTALANDS LÄN</t>
        </is>
      </c>
      <c r="G290" t="inlineStr">
        <is>
          <t>TIDAHOLM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8163-2026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46064</v>
      </c>
      <c r="E291" s="1" t="n">
        <v>46219</v>
      </c>
      <c r="F291" t="inlineStr">
        <is>
          <t>VÄSTRA GÖTALANDS LÄN</t>
        </is>
      </c>
      <c r="G291" t="inlineStr">
        <is>
          <t>TIDAHOLM</t>
        </is>
      </c>
      <c r="H291" t="inlineStr">
        <is>
          <t>Kommuner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22857-2025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45790</v>
      </c>
      <c r="E292" s="1" t="n">
        <v>46219</v>
      </c>
      <c r="F292" t="inlineStr">
        <is>
          <t>VÄSTRA GÖTALANDS LÄN</t>
        </is>
      </c>
      <c r="G292" t="inlineStr">
        <is>
          <t>TIDAHOLM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50078-2023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45215</v>
      </c>
      <c r="E293" s="1" t="n">
        <v>46219</v>
      </c>
      <c r="F293" t="inlineStr">
        <is>
          <t>VÄSTRA GÖTALANDS LÄN</t>
        </is>
      </c>
      <c r="G293" t="inlineStr">
        <is>
          <t>TIDAHOLM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23283-2022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44720</v>
      </c>
      <c r="E294" s="1" t="n">
        <v>46219</v>
      </c>
      <c r="F294" t="inlineStr">
        <is>
          <t>VÄSTRA GÖTALANDS LÄN</t>
        </is>
      </c>
      <c r="G294" t="inlineStr">
        <is>
          <t>TIDAHOLM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18249-2022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44685</v>
      </c>
      <c r="E295" s="1" t="n">
        <v>46219</v>
      </c>
      <c r="F295" t="inlineStr">
        <is>
          <t>VÄSTRA GÖTALANDS LÄN</t>
        </is>
      </c>
      <c r="G295" t="inlineStr">
        <is>
          <t>TIDAHOLM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33568-2024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45519</v>
      </c>
      <c r="E296" s="1" t="n">
        <v>46219</v>
      </c>
      <c r="F296" t="inlineStr">
        <is>
          <t>VÄSTRA GÖTALANDS LÄN</t>
        </is>
      </c>
      <c r="G296" t="inlineStr">
        <is>
          <t>TIDAHOLM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35361-2024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45531</v>
      </c>
      <c r="E297" s="1" t="n">
        <v>46219</v>
      </c>
      <c r="F297" t="inlineStr">
        <is>
          <t>VÄSTRA GÖTALANDS LÄN</t>
        </is>
      </c>
      <c r="G297" t="inlineStr">
        <is>
          <t>TIDAHOLM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16575-2025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45752</v>
      </c>
      <c r="E298" s="1" t="n">
        <v>46219</v>
      </c>
      <c r="F298" t="inlineStr">
        <is>
          <t>VÄSTRA GÖTALANDS LÄN</t>
        </is>
      </c>
      <c r="G298" t="inlineStr">
        <is>
          <t>TIDAHOLM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23353-2022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44720</v>
      </c>
      <c r="E299" s="1" t="n">
        <v>46219</v>
      </c>
      <c r="F299" t="inlineStr">
        <is>
          <t>VÄSTRA GÖTALANDS LÄN</t>
        </is>
      </c>
      <c r="G299" t="inlineStr">
        <is>
          <t>TIDAHOLM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14331-2025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45740</v>
      </c>
      <c r="E300" s="1" t="n">
        <v>46219</v>
      </c>
      <c r="F300" t="inlineStr">
        <is>
          <t>VÄSTRA GÖTALANDS LÄN</t>
        </is>
      </c>
      <c r="G300" t="inlineStr">
        <is>
          <t>TIDAHOLM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8616-2025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45711</v>
      </c>
      <c r="E301" s="1" t="n">
        <v>46219</v>
      </c>
      <c r="F301" t="inlineStr">
        <is>
          <t>VÄSTRA GÖTALANDS LÄN</t>
        </is>
      </c>
      <c r="G301" t="inlineStr">
        <is>
          <t>TIDAHOLM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3449-2025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45680</v>
      </c>
      <c r="E302" s="1" t="n">
        <v>46219</v>
      </c>
      <c r="F302" t="inlineStr">
        <is>
          <t>VÄSTRA GÖTALANDS LÄN</t>
        </is>
      </c>
      <c r="G302" t="inlineStr">
        <is>
          <t>TIDAHOLM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9247-2025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45714</v>
      </c>
      <c r="E303" s="1" t="n">
        <v>46219</v>
      </c>
      <c r="F303" t="inlineStr">
        <is>
          <t>VÄSTRA GÖTALANDS LÄN</t>
        </is>
      </c>
      <c r="G303" t="inlineStr">
        <is>
          <t>TIDAHOLM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61756-2023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45265</v>
      </c>
      <c r="E304" s="1" t="n">
        <v>46219</v>
      </c>
      <c r="F304" t="inlineStr">
        <is>
          <t>VÄSTRA GÖTALANDS LÄN</t>
        </is>
      </c>
      <c r="G304" t="inlineStr">
        <is>
          <t>TIDAHOLM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61757-2023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45265</v>
      </c>
      <c r="E305" s="1" t="n">
        <v>46219</v>
      </c>
      <c r="F305" t="inlineStr">
        <is>
          <t>VÄSTRA GÖTALANDS LÄN</t>
        </is>
      </c>
      <c r="G305" t="inlineStr">
        <is>
          <t>TIDAHOLM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10909-2026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46079</v>
      </c>
      <c r="E306" s="1" t="n">
        <v>46219</v>
      </c>
      <c r="F306" t="inlineStr">
        <is>
          <t>VÄSTRA GÖTALANDS LÄN</t>
        </is>
      </c>
      <c r="G306" t="inlineStr">
        <is>
          <t>TIDAHOLM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11291-2026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46080</v>
      </c>
      <c r="E307" s="1" t="n">
        <v>46219</v>
      </c>
      <c r="F307" t="inlineStr">
        <is>
          <t>VÄSTRA GÖTALANDS LÄN</t>
        </is>
      </c>
      <c r="G307" t="inlineStr">
        <is>
          <t>TIDAHOLM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11835-2025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45728</v>
      </c>
      <c r="E308" s="1" t="n">
        <v>46219</v>
      </c>
      <c r="F308" t="inlineStr">
        <is>
          <t>VÄSTRA GÖTALANDS LÄN</t>
        </is>
      </c>
      <c r="G308" t="inlineStr">
        <is>
          <t>TIDAHOLM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2830-2024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45314</v>
      </c>
      <c r="E309" s="1" t="n">
        <v>46219</v>
      </c>
      <c r="F309" t="inlineStr">
        <is>
          <t>VÄSTRA GÖTALANDS LÄN</t>
        </is>
      </c>
      <c r="G309" t="inlineStr">
        <is>
          <t>TIDAHOLM</t>
        </is>
      </c>
      <c r="I309" t="n">
        <v>7.9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11296-2026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46080</v>
      </c>
      <c r="E310" s="1" t="n">
        <v>46219</v>
      </c>
      <c r="F310" t="inlineStr">
        <is>
          <t>VÄSTRA GÖTALANDS LÄN</t>
        </is>
      </c>
      <c r="G310" t="inlineStr">
        <is>
          <t>TIDAHOLM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11684-2026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46084</v>
      </c>
      <c r="E311" s="1" t="n">
        <v>46219</v>
      </c>
      <c r="F311" t="inlineStr">
        <is>
          <t>VÄSTRA GÖTALANDS LÄN</t>
        </is>
      </c>
      <c r="G311" t="inlineStr">
        <is>
          <t>TIDAHOLM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11717-2026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46084</v>
      </c>
      <c r="E312" s="1" t="n">
        <v>46219</v>
      </c>
      <c r="F312" t="inlineStr">
        <is>
          <t>VÄSTRA GÖTALANDS LÄN</t>
        </is>
      </c>
      <c r="G312" t="inlineStr">
        <is>
          <t>TIDAHOLM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7766-2023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44973</v>
      </c>
      <c r="E313" s="1" t="n">
        <v>46219</v>
      </c>
      <c r="F313" t="inlineStr">
        <is>
          <t>VÄSTRA GÖTALANDS LÄN</t>
        </is>
      </c>
      <c r="G313" t="inlineStr">
        <is>
          <t>TIDAHOLM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11622-2026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46084</v>
      </c>
      <c r="E314" s="1" t="n">
        <v>46219</v>
      </c>
      <c r="F314" t="inlineStr">
        <is>
          <t>VÄSTRA GÖTALANDS LÄN</t>
        </is>
      </c>
      <c r="G314" t="inlineStr">
        <is>
          <t>TIDAHOLM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5997-2024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45336</v>
      </c>
      <c r="E315" s="1" t="n">
        <v>46219</v>
      </c>
      <c r="F315" t="inlineStr">
        <is>
          <t>VÄSTRA GÖTALANDS LÄN</t>
        </is>
      </c>
      <c r="G315" t="inlineStr">
        <is>
          <t>TIDAHOLM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12525-2026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46090</v>
      </c>
      <c r="E316" s="1" t="n">
        <v>46219</v>
      </c>
      <c r="F316" t="inlineStr">
        <is>
          <t>VÄSTRA GÖTALANDS LÄN</t>
        </is>
      </c>
      <c r="G316" t="inlineStr">
        <is>
          <t>TIDAHOLM</t>
        </is>
      </c>
      <c r="I316" t="n">
        <v>13.7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37070-2022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44806</v>
      </c>
      <c r="E317" s="1" t="n">
        <v>46219</v>
      </c>
      <c r="F317" t="inlineStr">
        <is>
          <t>VÄSTRA GÖTALANDS LÄN</t>
        </is>
      </c>
      <c r="G317" t="inlineStr">
        <is>
          <t>TIDAHOLM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2442-2024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45311</v>
      </c>
      <c r="E318" s="1" t="n">
        <v>46219</v>
      </c>
      <c r="F318" t="inlineStr">
        <is>
          <t>VÄSTRA GÖTALANDS LÄN</t>
        </is>
      </c>
      <c r="G318" t="inlineStr">
        <is>
          <t>TIDAHOLM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55479-2023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45238</v>
      </c>
      <c r="E319" s="1" t="n">
        <v>46219</v>
      </c>
      <c r="F319" t="inlineStr">
        <is>
          <t>VÄSTRA GÖTALANDS LÄN</t>
        </is>
      </c>
      <c r="G319" t="inlineStr">
        <is>
          <t>TIDAHOLM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14099-2026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46099</v>
      </c>
      <c r="E320" s="1" t="n">
        <v>46219</v>
      </c>
      <c r="F320" t="inlineStr">
        <is>
          <t>VÄSTRA GÖTALANDS LÄN</t>
        </is>
      </c>
      <c r="G320" t="inlineStr">
        <is>
          <t>TIDAHOLM</t>
        </is>
      </c>
      <c r="I320" t="n">
        <v>16.2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64874-2023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45282</v>
      </c>
      <c r="E321" s="1" t="n">
        <v>46219</v>
      </c>
      <c r="F321" t="inlineStr">
        <is>
          <t>VÄSTRA GÖTALANDS LÄN</t>
        </is>
      </c>
      <c r="G321" t="inlineStr">
        <is>
          <t>TIDAHOLM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15268-2026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46105</v>
      </c>
      <c r="E322" s="1" t="n">
        <v>46219</v>
      </c>
      <c r="F322" t="inlineStr">
        <is>
          <t>VÄSTRA GÖTALANDS LÄN</t>
        </is>
      </c>
      <c r="G322" t="inlineStr">
        <is>
          <t>TIDAHOLM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15284-2026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46105</v>
      </c>
      <c r="E323" s="1" t="n">
        <v>46219</v>
      </c>
      <c r="F323" t="inlineStr">
        <is>
          <t>VÄSTRA GÖTALANDS LÄN</t>
        </is>
      </c>
      <c r="G323" t="inlineStr">
        <is>
          <t>TIDAHOLM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37934-2023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45160</v>
      </c>
      <c r="E324" s="1" t="n">
        <v>46219</v>
      </c>
      <c r="F324" t="inlineStr">
        <is>
          <t>VÄSTRA GÖTALANDS LÄN</t>
        </is>
      </c>
      <c r="G324" t="inlineStr">
        <is>
          <t>TIDAHOLM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16261-2026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46111</v>
      </c>
      <c r="E325" s="1" t="n">
        <v>46219</v>
      </c>
      <c r="F325" t="inlineStr">
        <is>
          <t>VÄSTRA GÖTALANDS LÄN</t>
        </is>
      </c>
      <c r="G325" t="inlineStr">
        <is>
          <t>TIDAHOLM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9949-2023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44985</v>
      </c>
      <c r="E326" s="1" t="n">
        <v>46219</v>
      </c>
      <c r="F326" t="inlineStr">
        <is>
          <t>VÄSTRA GÖTALANDS LÄN</t>
        </is>
      </c>
      <c r="G326" t="inlineStr">
        <is>
          <t>TIDAHOLM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59460-2022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44907</v>
      </c>
      <c r="E327" s="1" t="n">
        <v>46219</v>
      </c>
      <c r="F327" t="inlineStr">
        <is>
          <t>VÄSTRA GÖTALANDS LÄN</t>
        </is>
      </c>
      <c r="G327" t="inlineStr">
        <is>
          <t>TIDAHOLM</t>
        </is>
      </c>
      <c r="I327" t="n">
        <v>7.4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7931-2024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45350</v>
      </c>
      <c r="E328" s="1" t="n">
        <v>46219</v>
      </c>
      <c r="F328" t="inlineStr">
        <is>
          <t>VÄSTRA GÖTALANDS LÄN</t>
        </is>
      </c>
      <c r="G328" t="inlineStr">
        <is>
          <t>TIDAHOLM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17083-2026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46114</v>
      </c>
      <c r="E329" s="1" t="n">
        <v>46219</v>
      </c>
      <c r="F329" t="inlineStr">
        <is>
          <t>VÄSTRA GÖTALANDS LÄN</t>
        </is>
      </c>
      <c r="G329" t="inlineStr">
        <is>
          <t>TIDAHOLM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40527-2023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45170</v>
      </c>
      <c r="E330" s="1" t="n">
        <v>46219</v>
      </c>
      <c r="F330" t="inlineStr">
        <is>
          <t>VÄSTRA GÖTALANDS LÄN</t>
        </is>
      </c>
      <c r="G330" t="inlineStr">
        <is>
          <t>TIDAHOLM</t>
        </is>
      </c>
      <c r="I330" t="n">
        <v>7.8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57969-2022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44900</v>
      </c>
      <c r="E331" s="1" t="n">
        <v>46219</v>
      </c>
      <c r="F331" t="inlineStr">
        <is>
          <t>VÄSTRA GÖTALANDS LÄN</t>
        </is>
      </c>
      <c r="G331" t="inlineStr">
        <is>
          <t>TIDAHOLM</t>
        </is>
      </c>
      <c r="H331" t="inlineStr">
        <is>
          <t>Sveaskog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26532-2024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45469</v>
      </c>
      <c r="E332" s="1" t="n">
        <v>46219</v>
      </c>
      <c r="F332" t="inlineStr">
        <is>
          <t>VÄSTRA GÖTALANDS LÄN</t>
        </is>
      </c>
      <c r="G332" t="inlineStr">
        <is>
          <t>TIDAHOLM</t>
        </is>
      </c>
      <c r="H332" t="inlineStr">
        <is>
          <t>Sveaskog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73728-2021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44552</v>
      </c>
      <c r="E333" s="1" t="n">
        <v>46219</v>
      </c>
      <c r="F333" t="inlineStr">
        <is>
          <t>VÄSTRA GÖTALANDS LÄN</t>
        </is>
      </c>
      <c r="G333" t="inlineStr">
        <is>
          <t>TIDAHOLM</t>
        </is>
      </c>
      <c r="I333" t="n">
        <v>9.4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61587-2021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44501</v>
      </c>
      <c r="E334" s="1" t="n">
        <v>46219</v>
      </c>
      <c r="F334" t="inlineStr">
        <is>
          <t>VÄSTRA GÖTALANDS LÄN</t>
        </is>
      </c>
      <c r="G334" t="inlineStr">
        <is>
          <t>TIDAHOLM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12080-2023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44997</v>
      </c>
      <c r="E335" s="1" t="n">
        <v>46219</v>
      </c>
      <c r="F335" t="inlineStr">
        <is>
          <t>VÄSTRA GÖTALANDS LÄN</t>
        </is>
      </c>
      <c r="G335" t="inlineStr">
        <is>
          <t>TIDAHOLM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15953-2022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44664</v>
      </c>
      <c r="E336" s="1" t="n">
        <v>46219</v>
      </c>
      <c r="F336" t="inlineStr">
        <is>
          <t>VÄSTRA GÖTALANDS LÄN</t>
        </is>
      </c>
      <c r="G336" t="inlineStr">
        <is>
          <t>TIDAHOLM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923-2025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45665</v>
      </c>
      <c r="E337" s="1" t="n">
        <v>46219</v>
      </c>
      <c r="F337" t="inlineStr">
        <is>
          <t>VÄSTRA GÖTALANDS LÄN</t>
        </is>
      </c>
      <c r="G337" t="inlineStr">
        <is>
          <t>TIDAHOLM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17968-2026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46123</v>
      </c>
      <c r="E338" s="1" t="n">
        <v>46219</v>
      </c>
      <c r="F338" t="inlineStr">
        <is>
          <t>VÄSTRA GÖTALANDS LÄN</t>
        </is>
      </c>
      <c r="G338" t="inlineStr">
        <is>
          <t>TIDAHOLM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15194-2023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45016</v>
      </c>
      <c r="E339" s="1" t="n">
        <v>46219</v>
      </c>
      <c r="F339" t="inlineStr">
        <is>
          <t>VÄSTRA GÖTALANDS LÄN</t>
        </is>
      </c>
      <c r="G339" t="inlineStr">
        <is>
          <t>TIDAHOLM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28327-2023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45099</v>
      </c>
      <c r="E340" s="1" t="n">
        <v>46219</v>
      </c>
      <c r="F340" t="inlineStr">
        <is>
          <t>VÄSTRA GÖTALANDS LÄN</t>
        </is>
      </c>
      <c r="G340" t="inlineStr">
        <is>
          <t>TIDAHOLM</t>
        </is>
      </c>
      <c r="H340" t="inlineStr">
        <is>
          <t>Kyrkan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23044-2022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44719</v>
      </c>
      <c r="E341" s="1" t="n">
        <v>46219</v>
      </c>
      <c r="F341" t="inlineStr">
        <is>
          <t>VÄSTRA GÖTALANDS LÄN</t>
        </is>
      </c>
      <c r="G341" t="inlineStr">
        <is>
          <t>TIDAHOLM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18911-2026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46129</v>
      </c>
      <c r="E342" s="1" t="n">
        <v>46219</v>
      </c>
      <c r="F342" t="inlineStr">
        <is>
          <t>VÄSTRA GÖTALANDS LÄN</t>
        </is>
      </c>
      <c r="G342" t="inlineStr">
        <is>
          <t>TIDAHOLM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60252-2023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45258</v>
      </c>
      <c r="E343" s="1" t="n">
        <v>46219</v>
      </c>
      <c r="F343" t="inlineStr">
        <is>
          <t>VÄSTRA GÖTALANDS LÄN</t>
        </is>
      </c>
      <c r="G343" t="inlineStr">
        <is>
          <t>TIDAHOLM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61361-2022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44915</v>
      </c>
      <c r="E344" s="1" t="n">
        <v>46219</v>
      </c>
      <c r="F344" t="inlineStr">
        <is>
          <t>VÄSTRA GÖTALANDS LÄN</t>
        </is>
      </c>
      <c r="G344" t="inlineStr">
        <is>
          <t>TIDAHOLM</t>
        </is>
      </c>
      <c r="H344" t="inlineStr">
        <is>
          <t>Sveaskog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19028-2026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46131</v>
      </c>
      <c r="E345" s="1" t="n">
        <v>46219</v>
      </c>
      <c r="F345" t="inlineStr">
        <is>
          <t>VÄSTRA GÖTALANDS LÄN</t>
        </is>
      </c>
      <c r="G345" t="inlineStr">
        <is>
          <t>TIDAHOLM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28190-2025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45818</v>
      </c>
      <c r="E346" s="1" t="n">
        <v>46219</v>
      </c>
      <c r="F346" t="inlineStr">
        <is>
          <t>VÄSTRA GÖTALANDS LÄN</t>
        </is>
      </c>
      <c r="G346" t="inlineStr">
        <is>
          <t>TIDAHOLM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29182-2025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45821</v>
      </c>
      <c r="E347" s="1" t="n">
        <v>46219</v>
      </c>
      <c r="F347" t="inlineStr">
        <is>
          <t>VÄSTRA GÖTALANDS LÄN</t>
        </is>
      </c>
      <c r="G347" t="inlineStr">
        <is>
          <t>TIDAHOLM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25665-2026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46178</v>
      </c>
      <c r="E348" s="1" t="n">
        <v>46219</v>
      </c>
      <c r="F348" t="inlineStr">
        <is>
          <t>VÄSTRA GÖTALANDS LÄN</t>
        </is>
      </c>
      <c r="G348" t="inlineStr">
        <is>
          <t>TIDAHOLM</t>
        </is>
      </c>
      <c r="H348" t="inlineStr">
        <is>
          <t>Kyrkan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22480-2025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45786</v>
      </c>
      <c r="E349" s="1" t="n">
        <v>46219</v>
      </c>
      <c r="F349" t="inlineStr">
        <is>
          <t>VÄSTRA GÖTALANDS LÄN</t>
        </is>
      </c>
      <c r="G349" t="inlineStr">
        <is>
          <t>TIDAHOLM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37077-2025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45875</v>
      </c>
      <c r="E350" s="1" t="n">
        <v>46219</v>
      </c>
      <c r="F350" t="inlineStr">
        <is>
          <t>VÄSTRA GÖTALANDS LÄN</t>
        </is>
      </c>
      <c r="G350" t="inlineStr">
        <is>
          <t>TIDAHOLM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25110-2024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45462</v>
      </c>
      <c r="E351" s="1" t="n">
        <v>46219</v>
      </c>
      <c r="F351" t="inlineStr">
        <is>
          <t>VÄSTRA GÖTALANDS LÄN</t>
        </is>
      </c>
      <c r="G351" t="inlineStr">
        <is>
          <t>TIDAHOLM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27232-2023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45096</v>
      </c>
      <c r="E352" s="1" t="n">
        <v>46219</v>
      </c>
      <c r="F352" t="inlineStr">
        <is>
          <t>VÄSTRA GÖTALANDS LÄN</t>
        </is>
      </c>
      <c r="G352" t="inlineStr">
        <is>
          <t>TIDAHOLM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10273-2022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44622</v>
      </c>
      <c r="E353" s="1" t="n">
        <v>46219</v>
      </c>
      <c r="F353" t="inlineStr">
        <is>
          <t>VÄSTRA GÖTALANDS LÄN</t>
        </is>
      </c>
      <c r="G353" t="inlineStr">
        <is>
          <t>TIDAHOLM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49050-2021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44453</v>
      </c>
      <c r="E354" s="1" t="n">
        <v>46219</v>
      </c>
      <c r="F354" t="inlineStr">
        <is>
          <t>VÄSTRA GÖTALANDS LÄN</t>
        </is>
      </c>
      <c r="G354" t="inlineStr">
        <is>
          <t>TIDAHOLM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60040-2022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44902</v>
      </c>
      <c r="E355" s="1" t="n">
        <v>46219</v>
      </c>
      <c r="F355" t="inlineStr">
        <is>
          <t>VÄSTRA GÖTALANDS LÄN</t>
        </is>
      </c>
      <c r="G355" t="inlineStr">
        <is>
          <t>TIDAHOLM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22144-2023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45068</v>
      </c>
      <c r="E356" s="1" t="n">
        <v>46219</v>
      </c>
      <c r="F356" t="inlineStr">
        <is>
          <t>VÄSTRA GÖTALANDS LÄN</t>
        </is>
      </c>
      <c r="G356" t="inlineStr">
        <is>
          <t>TIDAHOLM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21904-2025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45784</v>
      </c>
      <c r="E357" s="1" t="n">
        <v>46219</v>
      </c>
      <c r="F357" t="inlineStr">
        <is>
          <t>VÄSTRA GÖTALANDS LÄN</t>
        </is>
      </c>
      <c r="G357" t="inlineStr">
        <is>
          <t>TIDAHOLM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32560-2025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45838</v>
      </c>
      <c r="E358" s="1" t="n">
        <v>46219</v>
      </c>
      <c r="F358" t="inlineStr">
        <is>
          <t>VÄSTRA GÖTALANDS LÄN</t>
        </is>
      </c>
      <c r="G358" t="inlineStr">
        <is>
          <t>TIDAHOLM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32563-2025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45838</v>
      </c>
      <c r="E359" s="1" t="n">
        <v>46219</v>
      </c>
      <c r="F359" t="inlineStr">
        <is>
          <t>VÄSTRA GÖTALANDS LÄN</t>
        </is>
      </c>
      <c r="G359" t="inlineStr">
        <is>
          <t>TIDAHOLM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34621-2025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45847</v>
      </c>
      <c r="E360" s="1" t="n">
        <v>46219</v>
      </c>
      <c r="F360" t="inlineStr">
        <is>
          <t>VÄSTRA GÖTALANDS LÄN</t>
        </is>
      </c>
      <c r="G360" t="inlineStr">
        <is>
          <t>TIDAHOLM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45165-2025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45919</v>
      </c>
      <c r="E361" s="1" t="n">
        <v>46219</v>
      </c>
      <c r="F361" t="inlineStr">
        <is>
          <t>VÄSTRA GÖTALANDS LÄN</t>
        </is>
      </c>
      <c r="G361" t="inlineStr">
        <is>
          <t>TIDAHOLM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18596-2024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45425</v>
      </c>
      <c r="E362" s="1" t="n">
        <v>46219</v>
      </c>
      <c r="F362" t="inlineStr">
        <is>
          <t>VÄSTRA GÖTALANDS LÄN</t>
        </is>
      </c>
      <c r="G362" t="inlineStr">
        <is>
          <t>TIDAHOLM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57934-2022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44900</v>
      </c>
      <c r="E363" s="1" t="n">
        <v>46219</v>
      </c>
      <c r="F363" t="inlineStr">
        <is>
          <t>VÄSTRA GÖTALANDS LÄN</t>
        </is>
      </c>
      <c r="G363" t="inlineStr">
        <is>
          <t>TIDAHOLM</t>
        </is>
      </c>
      <c r="H363" t="inlineStr">
        <is>
          <t>Sveaskog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44038-2024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45572</v>
      </c>
      <c r="E364" s="1" t="n">
        <v>46219</v>
      </c>
      <c r="F364" t="inlineStr">
        <is>
          <t>VÄSTRA GÖTALANDS LÄN</t>
        </is>
      </c>
      <c r="G364" t="inlineStr">
        <is>
          <t>TIDAHOLM</t>
        </is>
      </c>
      <c r="H364" t="inlineStr">
        <is>
          <t>Sveaskog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33709-2025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45841</v>
      </c>
      <c r="E365" s="1" t="n">
        <v>46219</v>
      </c>
      <c r="F365" t="inlineStr">
        <is>
          <t>VÄSTRA GÖTALANDS LÄN</t>
        </is>
      </c>
      <c r="G365" t="inlineStr">
        <is>
          <t>TIDAHOLM</t>
        </is>
      </c>
      <c r="I365" t="n">
        <v>6.6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32447-2023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45120</v>
      </c>
      <c r="E366" s="1" t="n">
        <v>46219</v>
      </c>
      <c r="F366" t="inlineStr">
        <is>
          <t>VÄSTRA GÖTALANDS LÄN</t>
        </is>
      </c>
      <c r="G366" t="inlineStr">
        <is>
          <t>TIDAHOLM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35142-2024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45530</v>
      </c>
      <c r="E367" s="1" t="n">
        <v>46219</v>
      </c>
      <c r="F367" t="inlineStr">
        <is>
          <t>VÄSTRA GÖTALANDS LÄN</t>
        </is>
      </c>
      <c r="G367" t="inlineStr">
        <is>
          <t>TIDAHOLM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26123-2026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46181</v>
      </c>
      <c r="E368" s="1" t="n">
        <v>46219</v>
      </c>
      <c r="F368" t="inlineStr">
        <is>
          <t>VÄSTRA GÖTALANDS LÄN</t>
        </is>
      </c>
      <c r="G368" t="inlineStr">
        <is>
          <t>TIDAHOLM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44451-2023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45183</v>
      </c>
      <c r="E369" s="1" t="n">
        <v>46219</v>
      </c>
      <c r="F369" t="inlineStr">
        <is>
          <t>VÄSTRA GÖTALANDS LÄN</t>
        </is>
      </c>
      <c r="G369" t="inlineStr">
        <is>
          <t>TIDAHOLM</t>
        </is>
      </c>
      <c r="H369" t="inlineStr">
        <is>
          <t>Allmännings- och besparingsskogar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34842-2024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45526</v>
      </c>
      <c r="E370" s="1" t="n">
        <v>46219</v>
      </c>
      <c r="F370" t="inlineStr">
        <is>
          <t>VÄSTRA GÖTALANDS LÄN</t>
        </is>
      </c>
      <c r="G370" t="inlineStr">
        <is>
          <t>TIDAHOLM</t>
        </is>
      </c>
      <c r="I370" t="n">
        <v>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21900-2025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45784</v>
      </c>
      <c r="E371" s="1" t="n">
        <v>46219</v>
      </c>
      <c r="F371" t="inlineStr">
        <is>
          <t>VÄSTRA GÖTALANDS LÄN</t>
        </is>
      </c>
      <c r="G371" t="inlineStr">
        <is>
          <t>TIDAHOLM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34391-2025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45846</v>
      </c>
      <c r="E372" s="1" t="n">
        <v>46219</v>
      </c>
      <c r="F372" t="inlineStr">
        <is>
          <t>VÄSTRA GÖTALANDS LÄN</t>
        </is>
      </c>
      <c r="G372" t="inlineStr">
        <is>
          <t>TIDAHOLM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22963-2025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45790</v>
      </c>
      <c r="E373" s="1" t="n">
        <v>46219</v>
      </c>
      <c r="F373" t="inlineStr">
        <is>
          <t>VÄSTRA GÖTALANDS LÄN</t>
        </is>
      </c>
      <c r="G373" t="inlineStr">
        <is>
          <t>TIDAHOLM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60287-2023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45258</v>
      </c>
      <c r="E374" s="1" t="n">
        <v>46219</v>
      </c>
      <c r="F374" t="inlineStr">
        <is>
          <t>VÄSTRA GÖTALANDS LÄN</t>
        </is>
      </c>
      <c r="G374" t="inlineStr">
        <is>
          <t>TIDAHOLM</t>
        </is>
      </c>
      <c r="I374" t="n">
        <v>6.7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28957-2025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45821</v>
      </c>
      <c r="E375" s="1" t="n">
        <v>46219</v>
      </c>
      <c r="F375" t="inlineStr">
        <is>
          <t>VÄSTRA GÖTALANDS LÄN</t>
        </is>
      </c>
      <c r="G375" t="inlineStr">
        <is>
          <t>TIDAHOLM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1443-2025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45669</v>
      </c>
      <c r="E376" s="1" t="n">
        <v>46219</v>
      </c>
      <c r="F376" t="inlineStr">
        <is>
          <t>VÄSTRA GÖTALANDS LÄN</t>
        </is>
      </c>
      <c r="G376" t="inlineStr">
        <is>
          <t>TIDAHOLM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21170-2025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45779</v>
      </c>
      <c r="E377" s="1" t="n">
        <v>46219</v>
      </c>
      <c r="F377" t="inlineStr">
        <is>
          <t>VÄSTRA GÖTALANDS LÄN</t>
        </is>
      </c>
      <c r="G377" t="inlineStr">
        <is>
          <t>TIDAHOLM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14334-2025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45740</v>
      </c>
      <c r="E378" s="1" t="n">
        <v>46219</v>
      </c>
      <c r="F378" t="inlineStr">
        <is>
          <t>VÄSTRA GÖTALANDS LÄN</t>
        </is>
      </c>
      <c r="G378" t="inlineStr">
        <is>
          <t>TIDAHOLM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43464-2025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45911</v>
      </c>
      <c r="E379" s="1" t="n">
        <v>46219</v>
      </c>
      <c r="F379" t="inlineStr">
        <is>
          <t>VÄSTRA GÖTALANDS LÄN</t>
        </is>
      </c>
      <c r="G379" t="inlineStr">
        <is>
          <t>TIDAHOLM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21285-2025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45779</v>
      </c>
      <c r="E380" s="1" t="n">
        <v>46219</v>
      </c>
      <c r="F380" t="inlineStr">
        <is>
          <t>VÄSTRA GÖTALANDS LÄN</t>
        </is>
      </c>
      <c r="G380" t="inlineStr">
        <is>
          <t>TIDAHOLM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26017-2026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46181</v>
      </c>
      <c r="E381" s="1" t="n">
        <v>46219</v>
      </c>
      <c r="F381" t="inlineStr">
        <is>
          <t>VÄSTRA GÖTALANDS LÄN</t>
        </is>
      </c>
      <c r="G381" t="inlineStr">
        <is>
          <t>TIDAHOLM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24792-2024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45460</v>
      </c>
      <c r="E382" s="1" t="n">
        <v>46219</v>
      </c>
      <c r="F382" t="inlineStr">
        <is>
          <t>VÄSTRA GÖTALANDS LÄN</t>
        </is>
      </c>
      <c r="G382" t="inlineStr">
        <is>
          <t>TIDAHOLM</t>
        </is>
      </c>
      <c r="I382" t="n">
        <v>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35388-2025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45855</v>
      </c>
      <c r="E383" s="1" t="n">
        <v>46219</v>
      </c>
      <c r="F383" t="inlineStr">
        <is>
          <t>VÄSTRA GÖTALANDS LÄN</t>
        </is>
      </c>
      <c r="G383" t="inlineStr">
        <is>
          <t>TIDAHOLM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27354-2024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45473</v>
      </c>
      <c r="E384" s="1" t="n">
        <v>46219</v>
      </c>
      <c r="F384" t="inlineStr">
        <is>
          <t>VÄSTRA GÖTALANDS LÄN</t>
        </is>
      </c>
      <c r="G384" t="inlineStr">
        <is>
          <t>TIDAHOLM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25978-2026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46181</v>
      </c>
      <c r="E385" s="1" t="n">
        <v>46219</v>
      </c>
      <c r="F385" t="inlineStr">
        <is>
          <t>VÄSTRA GÖTALANDS LÄN</t>
        </is>
      </c>
      <c r="G385" t="inlineStr">
        <is>
          <t>TIDAHOLM</t>
        </is>
      </c>
      <c r="I385" t="n">
        <v>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35315-2025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45854</v>
      </c>
      <c r="E386" s="1" t="n">
        <v>46219</v>
      </c>
      <c r="F386" t="inlineStr">
        <is>
          <t>VÄSTRA GÖTALANDS LÄN</t>
        </is>
      </c>
      <c r="G386" t="inlineStr">
        <is>
          <t>TIDAHOLM</t>
        </is>
      </c>
      <c r="H386" t="inlineStr">
        <is>
          <t>Sveaskog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35795-2025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45861</v>
      </c>
      <c r="E387" s="1" t="n">
        <v>46219</v>
      </c>
      <c r="F387" t="inlineStr">
        <is>
          <t>VÄSTRA GÖTALANDS LÄN</t>
        </is>
      </c>
      <c r="G387" t="inlineStr">
        <is>
          <t>TIDAHOLM</t>
        </is>
      </c>
      <c r="H387" t="inlineStr">
        <is>
          <t>Sveaskog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38119-2025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45882</v>
      </c>
      <c r="E388" s="1" t="n">
        <v>46219</v>
      </c>
      <c r="F388" t="inlineStr">
        <is>
          <t>VÄSTRA GÖTALANDS LÄN</t>
        </is>
      </c>
      <c r="G388" t="inlineStr">
        <is>
          <t>TIDAHOLM</t>
        </is>
      </c>
      <c r="H388" t="inlineStr">
        <is>
          <t>Allmännings- och besparingsskogar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27860-2026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46191</v>
      </c>
      <c r="E389" s="1" t="n">
        <v>46219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Kyrkan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22022-2026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46153</v>
      </c>
      <c r="E390" s="1" t="n">
        <v>46219</v>
      </c>
      <c r="F390" t="inlineStr">
        <is>
          <t>VÄSTRA GÖTALANDS LÄN</t>
        </is>
      </c>
      <c r="G390" t="inlineStr">
        <is>
          <t>TIDAHOLM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22020-2026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46153</v>
      </c>
      <c r="E391" s="1" t="n">
        <v>46219</v>
      </c>
      <c r="F391" t="inlineStr">
        <is>
          <t>VÄSTRA GÖTALANDS LÄN</t>
        </is>
      </c>
      <c r="G391" t="inlineStr">
        <is>
          <t>TIDAHOLM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14140-2024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45392</v>
      </c>
      <c r="E392" s="1" t="n">
        <v>46219</v>
      </c>
      <c r="F392" t="inlineStr">
        <is>
          <t>VÄSTRA GÖTALANDS LÄN</t>
        </is>
      </c>
      <c r="G392" t="inlineStr">
        <is>
          <t>TIDAHOLM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27717-2025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45814</v>
      </c>
      <c r="E393" s="1" t="n">
        <v>46219</v>
      </c>
      <c r="F393" t="inlineStr">
        <is>
          <t>VÄSTRA GÖTALANDS LÄN</t>
        </is>
      </c>
      <c r="G393" t="inlineStr">
        <is>
          <t>TIDAHOLM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415-2021</t>
        </is>
      </c>
      <c r="B394" t="inlineStr">
        <is>
          <t>samrådsanmälan</t>
        </is>
      </c>
      <c r="C394" t="inlineStr">
        <is>
          <t>Åtgärd i nyckelbiotop</t>
        </is>
      </c>
      <c r="D394" s="1" t="n">
        <v>44257</v>
      </c>
      <c r="E394" s="1" t="n">
        <v>46219</v>
      </c>
      <c r="F394" t="inlineStr">
        <is>
          <t>VÄSTRA GÖTALANDS LÄN</t>
        </is>
      </c>
      <c r="G394" t="inlineStr">
        <is>
          <t>TIDAHOLM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986-2022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44607</v>
      </c>
      <c r="E395" s="1" t="n">
        <v>46219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98.40000000000001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968-2022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44607</v>
      </c>
      <c r="E396" s="1" t="n">
        <v>46219</v>
      </c>
      <c r="F396" t="inlineStr">
        <is>
          <t>VÄSTRA GÖTALANDS LÄN</t>
        </is>
      </c>
      <c r="G396" t="inlineStr">
        <is>
          <t>TIDAHOLM</t>
        </is>
      </c>
      <c r="H396" t="inlineStr">
        <is>
          <t>Sveaskog</t>
        </is>
      </c>
      <c r="I396" t="n">
        <v>87.3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>
      <c r="A397" t="inlineStr">
        <is>
          <t>S 2715-2025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45930</v>
      </c>
      <c r="E397" s="1" t="n">
        <v>46219</v>
      </c>
      <c r="F397" t="inlineStr">
        <is>
          <t>VÄSTRA GÖTALANDS LÄN</t>
        </is>
      </c>
      <c r="G397" t="inlineStr">
        <is>
          <t>TIDAHOLM</t>
        </is>
      </c>
      <c r="H397" t="inlineStr">
        <is>
          <t>Sveaskog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2026-07-16T01:27:07Z</dcterms:created>
  <dcterms:modified xmlns:dcterms="http://purl.org/dc/terms/" xmlns:xsi="http://www.w3.org/2001/XMLSchema-instance" xsi:type="dcterms:W3CDTF">2026-07-16T01:27:07Z</dcterms:modified>
</cp:coreProperties>
</file>