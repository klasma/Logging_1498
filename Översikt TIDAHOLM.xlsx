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46235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46235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46235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46235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46235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46235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46235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46235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46235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57539-2023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45246</v>
      </c>
      <c r="E24" s="1" t="n">
        <v>46235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HYPERLINK("https://klasma.github.io/Logging_1498/artfynd/A 57539-2023 artfynd.xlsx", "A 57539-2023")</f>
        <v/>
      </c>
      <c r="X24">
        <f>HYPERLINK("https://klasma.github.io/Logging_1498/kartor/A 57539-2023 karta.png", "A 57539-2023")</f>
        <v/>
      </c>
      <c r="Y24">
        <f>HYPERLINK("https://klasma.github.io/Logging_1498/kartor_geotiff/A 57539-2023 georefererad karta.tif", "A 57539-2023")</f>
        <v/>
      </c>
      <c r="AA24">
        <f>HYPERLINK("https://klasma.github.io/Logging_1498/klagomål/A 57539-2023 FSC-klagomål.docx", "A 57539-2023")</f>
        <v/>
      </c>
      <c r="AB24">
        <f>HYPERLINK("https://klasma.github.io/Logging_1498/klagomålsmail/A 57539-2023 FSC-klagomål mail.docx", "A 57539-2023")</f>
        <v/>
      </c>
      <c r="AC24">
        <f>HYPERLINK("https://klasma.github.io/Logging_1498/tillsyn/A 57539-2023 tillsynsbegäran.docx", "A 57539-2023")</f>
        <v/>
      </c>
      <c r="AD24">
        <f>HYPERLINK("https://klasma.github.io/Logging_1498/tillsynsmail/A 57539-2023 tillsynsbegäran mail.docx", "A 57539-2023")</f>
        <v/>
      </c>
    </row>
    <row r="25" ht="15" customHeight="1">
      <c r="A25" t="inlineStr">
        <is>
          <t>A 54133-2023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46235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9.300000000000001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Gammelgransskål</t>
        </is>
      </c>
      <c r="W25">
        <f>HYPERLINK("https://klasma.github.io/Logging_1498/artfynd/A 54133-2023 artfynd.xlsx", "A 54133-2023")</f>
        <v/>
      </c>
      <c r="X25">
        <f>HYPERLINK("https://klasma.github.io/Logging_1498/kartor/A 54133-2023 karta.png", "A 54133-2023")</f>
        <v/>
      </c>
      <c r="Y25">
        <f>HYPERLINK("https://klasma.github.io/Logging_1498/kartor_geotiff/A 54133-2023 georefererad karta.tif", "A 54133-2023")</f>
        <v/>
      </c>
      <c r="AA25">
        <f>HYPERLINK("https://klasma.github.io/Logging_1498/klagomål/A 54133-2023 FSC-klagomål.docx", "A 54133-2023")</f>
        <v/>
      </c>
      <c r="AB25">
        <f>HYPERLINK("https://klasma.github.io/Logging_1498/klagomålsmail/A 54133-2023 FSC-klagomål mail.docx", "A 54133-2023")</f>
        <v/>
      </c>
      <c r="AC25">
        <f>HYPERLINK("https://klasma.github.io/Logging_1498/tillsyn/A 54133-2023 tillsynsbegäran.docx", "A 54133-2023")</f>
        <v/>
      </c>
      <c r="AD25">
        <f>HYPERLINK("https://klasma.github.io/Logging_1498/tillsynsmail/A 54133-2023 tillsynsbegäran mail.docx", "A 54133-2023")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46235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46235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46235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46235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46235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46235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46235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46235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46235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46235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46235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46235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46235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46235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46235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46235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46235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46235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46235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46235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46235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46235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46235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46235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46235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46235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46235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46235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46235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46235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46235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46235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46235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46235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46235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46235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46235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46235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46235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46235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46235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46235</v>
      </c>
      <c r="F70" t="inlineStr">
        <is>
          <t>VÄSTRA GÖTALANDS LÄN</t>
        </is>
      </c>
      <c r="G70" t="inlineStr">
        <is>
          <t>TIDAHOLM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46235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46235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46235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46235</v>
      </c>
      <c r="F74" t="inlineStr">
        <is>
          <t>VÄSTRA GÖTALANDS LÄN</t>
        </is>
      </c>
      <c r="G74" t="inlineStr">
        <is>
          <t>TIDAHOLM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46235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46235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46235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46235</v>
      </c>
      <c r="F78" t="inlineStr">
        <is>
          <t>VÄSTRA GÖTALANDS LÄN</t>
        </is>
      </c>
      <c r="G78" t="inlineStr">
        <is>
          <t>TIDAHOLM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46235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46235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46235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46235</v>
      </c>
      <c r="F82" t="inlineStr">
        <is>
          <t>VÄSTRA GÖTALANDS LÄN</t>
        </is>
      </c>
      <c r="G82" t="inlineStr">
        <is>
          <t>TIDAHOLM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44456</v>
      </c>
      <c r="E83" s="1" t="n">
        <v>46235</v>
      </c>
      <c r="F83" t="inlineStr">
        <is>
          <t>VÄSTRA GÖTALANDS LÄN</t>
        </is>
      </c>
      <c r="G83" t="inlineStr">
        <is>
          <t>TIDAHOLM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44456</v>
      </c>
      <c r="E84" s="1" t="n">
        <v>46235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46235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46235</v>
      </c>
      <c r="F86" t="inlineStr">
        <is>
          <t>VÄSTRA GÖTALANDS LÄN</t>
        </is>
      </c>
      <c r="G86" t="inlineStr">
        <is>
          <t>TIDAHOLM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46235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64724-2021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46235</v>
      </c>
      <c r="F88" t="inlineStr">
        <is>
          <t>VÄSTRA GÖTALANDS LÄN</t>
        </is>
      </c>
      <c r="G88" t="inlineStr">
        <is>
          <t>TIDAHOLM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46235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46235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46235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46235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46235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68631-2021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46235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45258</v>
      </c>
      <c r="E95" s="1" t="n">
        <v>46235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44915</v>
      </c>
      <c r="E96" s="1" t="n">
        <v>46235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45329</v>
      </c>
      <c r="E97" s="1" t="n">
        <v>46235</v>
      </c>
      <c r="F97" t="inlineStr">
        <is>
          <t>VÄSTRA GÖTALANDS LÄN</t>
        </is>
      </c>
      <c r="G97" t="inlineStr">
        <is>
          <t>TIDAHOLM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46235</v>
      </c>
      <c r="F98" t="inlineStr">
        <is>
          <t>VÄSTRA GÖTALANDS LÄN</t>
        </is>
      </c>
      <c r="G98" t="inlineStr">
        <is>
          <t>TIDAHOLM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46235</v>
      </c>
      <c r="F99" t="inlineStr">
        <is>
          <t>VÄSTRA GÖTALANDS LÄN</t>
        </is>
      </c>
      <c r="G99" t="inlineStr">
        <is>
          <t>TIDAHOLM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46235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46235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46235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60646-2022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44911</v>
      </c>
      <c r="E103" s="1" t="n">
        <v>46235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46235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46235</v>
      </c>
      <c r="F105" t="inlineStr">
        <is>
          <t>VÄSTRA GÖTALANDS LÄN</t>
        </is>
      </c>
      <c r="G105" t="inlineStr">
        <is>
          <t>TIDAHOLM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46235</v>
      </c>
      <c r="F106" t="inlineStr">
        <is>
          <t>VÄSTRA GÖTALANDS LÄN</t>
        </is>
      </c>
      <c r="G106" t="inlineStr">
        <is>
          <t>TIDAHOLM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46235</v>
      </c>
      <c r="F107" t="inlineStr">
        <is>
          <t>VÄSTRA GÖTALANDS LÄN</t>
        </is>
      </c>
      <c r="G107" t="inlineStr">
        <is>
          <t>TIDAHOLM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46235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46235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46235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46235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46235</v>
      </c>
      <c r="F112" t="inlineStr">
        <is>
          <t>VÄSTRA GÖTALANDS LÄN</t>
        </is>
      </c>
      <c r="G112" t="inlineStr">
        <is>
          <t>TIDAHOLM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46235</v>
      </c>
      <c r="F113" t="inlineStr">
        <is>
          <t>VÄSTRA GÖTALANDS LÄN</t>
        </is>
      </c>
      <c r="G113" t="inlineStr">
        <is>
          <t>TIDAHOLM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46235</v>
      </c>
      <c r="F114" t="inlineStr">
        <is>
          <t>VÄSTRA GÖTALANDS LÄN</t>
        </is>
      </c>
      <c r="G114" t="inlineStr">
        <is>
          <t>TIDAHOLM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45556</v>
      </c>
      <c r="E115" s="1" t="n">
        <v>46235</v>
      </c>
      <c r="F115" t="inlineStr">
        <is>
          <t>VÄSTRA GÖTALANDS LÄN</t>
        </is>
      </c>
      <c r="G115" t="inlineStr">
        <is>
          <t>TIDAHOLM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46235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46235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46235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46235</v>
      </c>
      <c r="F119" t="inlineStr">
        <is>
          <t>VÄSTRA GÖTALANDS LÄN</t>
        </is>
      </c>
      <c r="G119" t="inlineStr">
        <is>
          <t>TIDAHOLM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46235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46235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44910</v>
      </c>
      <c r="E122" s="1" t="n">
        <v>46235</v>
      </c>
      <c r="F122" t="inlineStr">
        <is>
          <t>VÄSTRA GÖTALANDS LÄN</t>
        </is>
      </c>
      <c r="G122" t="inlineStr">
        <is>
          <t>TIDAHOLM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46235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45474</v>
      </c>
      <c r="E124" s="1" t="n">
        <v>46235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46235</v>
      </c>
      <c r="F125" t="inlineStr">
        <is>
          <t>VÄSTRA GÖTALANDS LÄN</t>
        </is>
      </c>
      <c r="G125" t="inlineStr">
        <is>
          <t>TIDAHOLM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44973</v>
      </c>
      <c r="E126" s="1" t="n">
        <v>46235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46235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46235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46235</v>
      </c>
      <c r="F129" t="inlineStr">
        <is>
          <t>VÄSTRA GÖTALANDS LÄN</t>
        </is>
      </c>
      <c r="G129" t="inlineStr">
        <is>
          <t>TIDAHOLM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46235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46235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Kyrkan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35479-2023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45146</v>
      </c>
      <c r="E132" s="1" t="n">
        <v>46235</v>
      </c>
      <c r="F132" t="inlineStr">
        <is>
          <t>VÄSTRA GÖTALANDS LÄN</t>
        </is>
      </c>
      <c r="G132" t="inlineStr">
        <is>
          <t>TIDAHOLM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46235</v>
      </c>
      <c r="F133" t="inlineStr">
        <is>
          <t>VÄSTRA GÖTALANDS LÄN</t>
        </is>
      </c>
      <c r="G133" t="inlineStr">
        <is>
          <t>TIDAHOLM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46235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46235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46235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46235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46235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46235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46235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46235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46235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46235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46235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46235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46235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44630</v>
      </c>
      <c r="E147" s="1" t="n">
        <v>46235</v>
      </c>
      <c r="F147" t="inlineStr">
        <is>
          <t>VÄSTRA GÖTALANDS LÄN</t>
        </is>
      </c>
      <c r="G147" t="inlineStr">
        <is>
          <t>TIDAHOLM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46235</v>
      </c>
      <c r="F148" t="inlineStr">
        <is>
          <t>VÄSTRA GÖTALANDS LÄN</t>
        </is>
      </c>
      <c r="G148" t="inlineStr">
        <is>
          <t>TIDAHOLM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45594</v>
      </c>
      <c r="E149" s="1" t="n">
        <v>46235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46235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46235</v>
      </c>
      <c r="F151" t="inlineStr">
        <is>
          <t>VÄSTRA GÖTALANDS LÄN</t>
        </is>
      </c>
      <c r="G151" t="inlineStr">
        <is>
          <t>TIDAHOLM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46235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46235</v>
      </c>
      <c r="F153" t="inlineStr">
        <is>
          <t>VÄSTRA GÖTALANDS LÄN</t>
        </is>
      </c>
      <c r="G153" t="inlineStr">
        <is>
          <t>TIDAHOLM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46235</v>
      </c>
      <c r="F154" t="inlineStr">
        <is>
          <t>VÄSTRA GÖTALANDS LÄN</t>
        </is>
      </c>
      <c r="G154" t="inlineStr">
        <is>
          <t>TIDAHOLM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46235</v>
      </c>
      <c r="F155" t="inlineStr">
        <is>
          <t>VÄSTRA GÖTALANDS LÄN</t>
        </is>
      </c>
      <c r="G155" t="inlineStr">
        <is>
          <t>TIDAHOLM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46235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45779</v>
      </c>
      <c r="E157" s="1" t="n">
        <v>46235</v>
      </c>
      <c r="F157" t="inlineStr">
        <is>
          <t>VÄSTRA GÖTALANDS LÄN</t>
        </is>
      </c>
      <c r="G157" t="inlineStr">
        <is>
          <t>TIDAHOLM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46235</v>
      </c>
      <c r="F158" t="inlineStr">
        <is>
          <t>VÄSTRA GÖTALANDS LÄN</t>
        </is>
      </c>
      <c r="G158" t="inlineStr">
        <is>
          <t>TIDAHOLM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46235</v>
      </c>
      <c r="F159" t="inlineStr">
        <is>
          <t>VÄSTRA GÖTALANDS LÄN</t>
        </is>
      </c>
      <c r="G159" t="inlineStr">
        <is>
          <t>TIDAHOLM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46235</v>
      </c>
      <c r="F160" t="inlineStr">
        <is>
          <t>VÄSTRA GÖTALANDS LÄN</t>
        </is>
      </c>
      <c r="G160" t="inlineStr">
        <is>
          <t>TIDAHOLM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49865-2024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45596</v>
      </c>
      <c r="E161" s="1" t="n">
        <v>46235</v>
      </c>
      <c r="F161" t="inlineStr">
        <is>
          <t>VÄSTRA GÖTALANDS LÄN</t>
        </is>
      </c>
      <c r="G161" t="inlineStr">
        <is>
          <t>TIDAHOLM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44453</v>
      </c>
      <c r="E162" s="1" t="n">
        <v>46235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46235</v>
      </c>
      <c r="F163" t="inlineStr">
        <is>
          <t>VÄSTRA GÖTALANDS LÄN</t>
        </is>
      </c>
      <c r="G163" t="inlineStr">
        <is>
          <t>TIDAHOLM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46235</v>
      </c>
      <c r="F164" t="inlineStr">
        <is>
          <t>VÄSTRA GÖTALANDS LÄN</t>
        </is>
      </c>
      <c r="G164" t="inlineStr">
        <is>
          <t>TIDAHOLM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46235</v>
      </c>
      <c r="F165" t="inlineStr">
        <is>
          <t>VÄSTRA GÖTALANDS LÄN</t>
        </is>
      </c>
      <c r="G165" t="inlineStr">
        <is>
          <t>TIDAHOLM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46235</v>
      </c>
      <c r="F166" t="inlineStr">
        <is>
          <t>VÄSTRA GÖTALANDS LÄN</t>
        </is>
      </c>
      <c r="G166" t="inlineStr">
        <is>
          <t>TIDAHOLM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46235</v>
      </c>
      <c r="F167" t="inlineStr">
        <is>
          <t>VÄSTRA GÖTALANDS LÄN</t>
        </is>
      </c>
      <c r="G167" t="inlineStr">
        <is>
          <t>TIDAHOLM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46235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47370-2025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45930</v>
      </c>
      <c r="E169" s="1" t="n">
        <v>46235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46235</v>
      </c>
      <c r="F170" t="inlineStr">
        <is>
          <t>VÄSTRA GÖTALANDS LÄN</t>
        </is>
      </c>
      <c r="G170" t="inlineStr">
        <is>
          <t>TIDAHOLM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46235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46235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46235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46235</v>
      </c>
      <c r="F174" t="inlineStr">
        <is>
          <t>VÄSTRA GÖTALANDS LÄN</t>
        </is>
      </c>
      <c r="G174" t="inlineStr">
        <is>
          <t>TIDAHOLM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46235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46235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14907-2023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45013</v>
      </c>
      <c r="E177" s="1" t="n">
        <v>46235</v>
      </c>
      <c r="F177" t="inlineStr">
        <is>
          <t>VÄSTRA GÖTALANDS LÄN</t>
        </is>
      </c>
      <c r="G177" t="inlineStr">
        <is>
          <t>TIDAHOLM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46235</v>
      </c>
      <c r="F178" t="inlineStr">
        <is>
          <t>VÄSTRA GÖTALANDS LÄN</t>
        </is>
      </c>
      <c r="G178" t="inlineStr">
        <is>
          <t>TIDAHOLM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46235</v>
      </c>
      <c r="F179" t="inlineStr">
        <is>
          <t>VÄSTRA GÖTALANDS LÄN</t>
        </is>
      </c>
      <c r="G179" t="inlineStr">
        <is>
          <t>TIDAHOLM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46235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46235</v>
      </c>
      <c r="F181" t="inlineStr">
        <is>
          <t>VÄSTRA GÖTALANDS LÄN</t>
        </is>
      </c>
      <c r="G181" t="inlineStr">
        <is>
          <t>TIDAHOLM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46235</v>
      </c>
      <c r="F182" t="inlineStr">
        <is>
          <t>VÄSTRA GÖTALANDS LÄN</t>
        </is>
      </c>
      <c r="G182" t="inlineStr">
        <is>
          <t>TIDAHOLM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45425</v>
      </c>
      <c r="E183" s="1" t="n">
        <v>46235</v>
      </c>
      <c r="F183" t="inlineStr">
        <is>
          <t>VÄSTRA GÖTALANDS LÄN</t>
        </is>
      </c>
      <c r="G183" t="inlineStr">
        <is>
          <t>TIDAHOLM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46235</v>
      </c>
      <c r="F184" t="inlineStr">
        <is>
          <t>VÄSTRA GÖTALANDS LÄN</t>
        </is>
      </c>
      <c r="G184" t="inlineStr">
        <is>
          <t>TIDAHOLM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46235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46235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46235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46235</v>
      </c>
      <c r="F188" t="inlineStr">
        <is>
          <t>VÄSTRA GÖTALANDS LÄN</t>
        </is>
      </c>
      <c r="G188" t="inlineStr">
        <is>
          <t>TIDAHOLM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45572</v>
      </c>
      <c r="E189" s="1" t="n">
        <v>46235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46235</v>
      </c>
      <c r="F190" t="inlineStr">
        <is>
          <t>VÄSTRA GÖTALANDS LÄN</t>
        </is>
      </c>
      <c r="G190" t="inlineStr">
        <is>
          <t>TIDAHOLM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46235</v>
      </c>
      <c r="F191" t="inlineStr">
        <is>
          <t>VÄSTRA GÖTALANDS LÄN</t>
        </is>
      </c>
      <c r="G191" t="inlineStr">
        <is>
          <t>TIDAHOLM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46235</v>
      </c>
      <c r="F192" t="inlineStr">
        <is>
          <t>VÄSTRA GÖTALANDS LÄN</t>
        </is>
      </c>
      <c r="G192" t="inlineStr">
        <is>
          <t>TIDAHOLM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46235</v>
      </c>
      <c r="F193" t="inlineStr">
        <is>
          <t>VÄSTRA GÖTALANDS LÄN</t>
        </is>
      </c>
      <c r="G193" t="inlineStr">
        <is>
          <t>TIDAHOLM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46235</v>
      </c>
      <c r="F194" t="inlineStr">
        <is>
          <t>VÄSTRA GÖTALANDS LÄN</t>
        </is>
      </c>
      <c r="G194" t="inlineStr">
        <is>
          <t>TIDAHOLM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46235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45530</v>
      </c>
      <c r="E196" s="1" t="n">
        <v>46235</v>
      </c>
      <c r="F196" t="inlineStr">
        <is>
          <t>VÄSTRA GÖTALANDS LÄN</t>
        </is>
      </c>
      <c r="G196" t="inlineStr">
        <is>
          <t>TIDAHOLM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46235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46235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46235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46235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46235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46235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46235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46235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46235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46235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46235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46235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46235</v>
      </c>
      <c r="F209" t="inlineStr">
        <is>
          <t>VÄSTRA GÖTALANDS LÄN</t>
        </is>
      </c>
      <c r="G209" t="inlineStr">
        <is>
          <t>TIDAHOLM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46235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46235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46235</v>
      </c>
      <c r="F212" t="inlineStr">
        <is>
          <t>VÄSTRA GÖTALANDS LÄN</t>
        </is>
      </c>
      <c r="G212" t="inlineStr">
        <is>
          <t>TIDAHOLM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46235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45814</v>
      </c>
      <c r="E214" s="1" t="n">
        <v>46235</v>
      </c>
      <c r="F214" t="inlineStr">
        <is>
          <t>VÄSTRA GÖTALANDS LÄN</t>
        </is>
      </c>
      <c r="G214" t="inlineStr">
        <is>
          <t>TIDAHOLM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46235</v>
      </c>
      <c r="F215" t="inlineStr">
        <is>
          <t>VÄSTRA GÖTALANDS LÄN</t>
        </is>
      </c>
      <c r="G215" t="inlineStr">
        <is>
          <t>TIDAHOLM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46235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46235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46235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46235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46235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46235</v>
      </c>
      <c r="F221" t="inlineStr">
        <is>
          <t>VÄSTRA GÖTALANDS LÄN</t>
        </is>
      </c>
      <c r="G221" t="inlineStr">
        <is>
          <t>TIDAHOLM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46235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Allmännings- och besparingsskogar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69446-2021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46235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46235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46235</v>
      </c>
      <c r="F225" t="inlineStr">
        <is>
          <t>VÄSTRA GÖTALANDS LÄN</t>
        </is>
      </c>
      <c r="G225" t="inlineStr">
        <is>
          <t>TIDAHOLM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44766</v>
      </c>
      <c r="E226" s="1" t="n">
        <v>46235</v>
      </c>
      <c r="F226" t="inlineStr">
        <is>
          <t>VÄSTRA GÖTALANDS LÄN</t>
        </is>
      </c>
      <c r="G226" t="inlineStr">
        <is>
          <t>TIDAHOLM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46235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46235</v>
      </c>
      <c r="F228" t="inlineStr">
        <is>
          <t>VÄSTRA GÖTALANDS LÄN</t>
        </is>
      </c>
      <c r="G228" t="inlineStr">
        <is>
          <t>TIDAHOLM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74340-2021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44559</v>
      </c>
      <c r="E229" s="1" t="n">
        <v>46235</v>
      </c>
      <c r="F229" t="inlineStr">
        <is>
          <t>VÄSTRA GÖTALANDS LÄN</t>
        </is>
      </c>
      <c r="G229" t="inlineStr">
        <is>
          <t>TIDAHOLM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46235</v>
      </c>
      <c r="F230" t="inlineStr">
        <is>
          <t>VÄSTRA GÖTALANDS LÄN</t>
        </is>
      </c>
      <c r="G230" t="inlineStr">
        <is>
          <t>TIDAHOLM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46235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46235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16382-2023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45029</v>
      </c>
      <c r="E233" s="1" t="n">
        <v>46235</v>
      </c>
      <c r="F233" t="inlineStr">
        <is>
          <t>VÄSTRA GÖTALANDS LÄN</t>
        </is>
      </c>
      <c r="G233" t="inlineStr">
        <is>
          <t>TIDAHOLM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46235</v>
      </c>
      <c r="F234" t="inlineStr">
        <is>
          <t>VÄSTRA GÖTALANDS LÄN</t>
        </is>
      </c>
      <c r="G234" t="inlineStr">
        <is>
          <t>TIDAHOLM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46235</v>
      </c>
      <c r="F235" t="inlineStr">
        <is>
          <t>VÄSTRA GÖTALANDS LÄN</t>
        </is>
      </c>
      <c r="G235" t="inlineStr">
        <is>
          <t>TIDAHOLM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44454</v>
      </c>
      <c r="E236" s="1" t="n">
        <v>46235</v>
      </c>
      <c r="F236" t="inlineStr">
        <is>
          <t>VÄSTRA GÖTALANDS LÄN</t>
        </is>
      </c>
      <c r="G236" t="inlineStr">
        <is>
          <t>TIDAHOLM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58988-2022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44903</v>
      </c>
      <c r="E237" s="1" t="n">
        <v>46235</v>
      </c>
      <c r="F237" t="inlineStr">
        <is>
          <t>VÄSTRA GÖTALANDS LÄN</t>
        </is>
      </c>
      <c r="G237" t="inlineStr">
        <is>
          <t>TIDAHOLM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46235</v>
      </c>
      <c r="F238" t="inlineStr">
        <is>
          <t>VÄSTRA GÖTALANDS LÄN</t>
        </is>
      </c>
      <c r="G238" t="inlineStr">
        <is>
          <t>TIDAHOLM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45495</v>
      </c>
      <c r="E239" s="1" t="n">
        <v>46235</v>
      </c>
      <c r="F239" t="inlineStr">
        <is>
          <t>VÄSTRA GÖTALANDS LÄN</t>
        </is>
      </c>
      <c r="G239" t="inlineStr">
        <is>
          <t>TIDAHOLM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45495</v>
      </c>
      <c r="E240" s="1" t="n">
        <v>46235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46235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Kyrkan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46235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46235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46235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45103</v>
      </c>
      <c r="E245" s="1" t="n">
        <v>46235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46235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46235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46235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45481</v>
      </c>
      <c r="E249" s="1" t="n">
        <v>46235</v>
      </c>
      <c r="F249" t="inlineStr">
        <is>
          <t>VÄSTRA GÖTALANDS LÄN</t>
        </is>
      </c>
      <c r="G249" t="inlineStr">
        <is>
          <t>TIDAHOLM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46235</v>
      </c>
      <c r="F250" t="inlineStr">
        <is>
          <t>VÄSTRA GÖTALANDS LÄN</t>
        </is>
      </c>
      <c r="G250" t="inlineStr">
        <is>
          <t>TIDAHOLM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46235</v>
      </c>
      <c r="F251" t="inlineStr">
        <is>
          <t>VÄSTRA GÖTALANDS LÄN</t>
        </is>
      </c>
      <c r="G251" t="inlineStr">
        <is>
          <t>TIDAHOLM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61362-2022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44915</v>
      </c>
      <c r="E252" s="1" t="n">
        <v>46235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46235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46235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46235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46235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46235</v>
      </c>
      <c r="F257" t="inlineStr">
        <is>
          <t>VÄSTRA GÖTALANDS LÄN</t>
        </is>
      </c>
      <c r="G257" t="inlineStr">
        <is>
          <t>TIDAHOLM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46235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46235</v>
      </c>
      <c r="F259" t="inlineStr">
        <is>
          <t>VÄSTRA GÖTALANDS LÄN</t>
        </is>
      </c>
      <c r="G259" t="inlineStr">
        <is>
          <t>TIDAHOLM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46235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46235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46235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46235</v>
      </c>
      <c r="F263" t="inlineStr">
        <is>
          <t>VÄSTRA GÖTALANDS LÄN</t>
        </is>
      </c>
      <c r="G263" t="inlineStr">
        <is>
          <t>TIDAHOLM</t>
        </is>
      </c>
      <c r="I263" t="n">
        <v>23.4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46235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46235</v>
      </c>
      <c r="F265" t="inlineStr">
        <is>
          <t>VÄSTRA GÖTALANDS LÄN</t>
        </is>
      </c>
      <c r="G265" t="inlineStr">
        <is>
          <t>TIDAHOLM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46235</v>
      </c>
      <c r="F266" t="inlineStr">
        <is>
          <t>VÄSTRA GÖTALANDS LÄN</t>
        </is>
      </c>
      <c r="G266" t="inlineStr">
        <is>
          <t>TIDAHOLM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46235</v>
      </c>
      <c r="F267" t="inlineStr">
        <is>
          <t>VÄSTRA GÖTALANDS LÄN</t>
        </is>
      </c>
      <c r="G267" t="inlineStr">
        <is>
          <t>TIDAHOLM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72683-2021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44546</v>
      </c>
      <c r="E268" s="1" t="n">
        <v>46235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46235</v>
      </c>
      <c r="F269" t="inlineStr">
        <is>
          <t>VÄSTRA GÖTALANDS LÄN</t>
        </is>
      </c>
      <c r="G269" t="inlineStr">
        <is>
          <t>TIDAHOLM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45105</v>
      </c>
      <c r="E270" s="1" t="n">
        <v>46235</v>
      </c>
      <c r="F270" t="inlineStr">
        <is>
          <t>VÄSTRA GÖTALANDS LÄN</t>
        </is>
      </c>
      <c r="G270" t="inlineStr">
        <is>
          <t>TIDAHOLM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55780-2021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44476</v>
      </c>
      <c r="E271" s="1" t="n">
        <v>46235</v>
      </c>
      <c r="F271" t="inlineStr">
        <is>
          <t>VÄSTRA GÖTALANDS LÄN</t>
        </is>
      </c>
      <c r="G271" t="inlineStr">
        <is>
          <t>TIDAHOLM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46235</v>
      </c>
      <c r="F272" t="inlineStr">
        <is>
          <t>VÄSTRA GÖTALANDS LÄN</t>
        </is>
      </c>
      <c r="G272" t="inlineStr">
        <is>
          <t>TIDAHOLM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46235</v>
      </c>
      <c r="F273" t="inlineStr">
        <is>
          <t>VÄSTRA GÖTALANDS LÄN</t>
        </is>
      </c>
      <c r="G273" t="inlineStr">
        <is>
          <t>TIDAHOLM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45120</v>
      </c>
      <c r="E274" s="1" t="n">
        <v>46235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46235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46235</v>
      </c>
      <c r="F276" t="inlineStr">
        <is>
          <t>VÄSTRA GÖTALANDS LÄN</t>
        </is>
      </c>
      <c r="G276" t="inlineStr">
        <is>
          <t>TIDAHOLM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46235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46235</v>
      </c>
      <c r="F278" t="inlineStr">
        <is>
          <t>VÄSTRA GÖTALANDS LÄN</t>
        </is>
      </c>
      <c r="G278" t="inlineStr">
        <is>
          <t>TIDAHOLM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46235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Kommuner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46235</v>
      </c>
      <c r="F280" t="inlineStr">
        <is>
          <t>VÄSTRA GÖTALANDS LÄN</t>
        </is>
      </c>
      <c r="G280" t="inlineStr">
        <is>
          <t>TIDAHOLM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45469</v>
      </c>
      <c r="E281" s="1" t="n">
        <v>46235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46235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46235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46235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45047</v>
      </c>
      <c r="E285" s="1" t="n">
        <v>46235</v>
      </c>
      <c r="F285" t="inlineStr">
        <is>
          <t>VÄSTRA GÖTALANDS LÄN</t>
        </is>
      </c>
      <c r="G285" t="inlineStr">
        <is>
          <t>TIDAHOLM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46235</v>
      </c>
      <c r="F286" t="inlineStr">
        <is>
          <t>VÄSTRA GÖTALANDS LÄN</t>
        </is>
      </c>
      <c r="G286" t="inlineStr">
        <is>
          <t>TIDAHOLM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45669</v>
      </c>
      <c r="E287" s="1" t="n">
        <v>46235</v>
      </c>
      <c r="F287" t="inlineStr">
        <is>
          <t>VÄSTRA GÖTALANDS LÄN</t>
        </is>
      </c>
      <c r="G287" t="inlineStr">
        <is>
          <t>TIDAHOLM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46235</v>
      </c>
      <c r="F288" t="inlineStr">
        <is>
          <t>VÄSTRA GÖTALANDS LÄN</t>
        </is>
      </c>
      <c r="G288" t="inlineStr">
        <is>
          <t>TIDAHOLM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46235</v>
      </c>
      <c r="F289" t="inlineStr">
        <is>
          <t>VÄSTRA GÖTALANDS LÄN</t>
        </is>
      </c>
      <c r="G289" t="inlineStr">
        <is>
          <t>TIDAHOLM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46235</v>
      </c>
      <c r="F290" t="inlineStr">
        <is>
          <t>VÄSTRA GÖTALANDS LÄN</t>
        </is>
      </c>
      <c r="G290" t="inlineStr">
        <is>
          <t>TIDAHOLM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46235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Kyrkan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46235</v>
      </c>
      <c r="F292" t="inlineStr">
        <is>
          <t>VÄSTRA GÖTALANDS LÄN</t>
        </is>
      </c>
      <c r="G292" t="inlineStr">
        <is>
          <t>TIDAHOLM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46235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46235</v>
      </c>
      <c r="F294" t="inlineStr">
        <is>
          <t>VÄSTRA GÖTALANDS LÄN</t>
        </is>
      </c>
      <c r="G294" t="inlineStr">
        <is>
          <t>TIDAHOLM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46235</v>
      </c>
      <c r="F295" t="inlineStr">
        <is>
          <t>VÄSTRA GÖTALANDS LÄN</t>
        </is>
      </c>
      <c r="G295" t="inlineStr">
        <is>
          <t>TIDAHOLM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46235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46235</v>
      </c>
      <c r="F297" t="inlineStr">
        <is>
          <t>VÄSTRA GÖTALANDS LÄN</t>
        </is>
      </c>
      <c r="G297" t="inlineStr">
        <is>
          <t>TIDAHOLM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46235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11291-2026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46080</v>
      </c>
      <c r="E299" s="1" t="n">
        <v>46235</v>
      </c>
      <c r="F299" t="inlineStr">
        <is>
          <t>VÄSTRA GÖTALANDS LÄN</t>
        </is>
      </c>
      <c r="G299" t="inlineStr">
        <is>
          <t>TIDAHOLM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46235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11296-2026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46080</v>
      </c>
      <c r="E301" s="1" t="n">
        <v>46235</v>
      </c>
      <c r="F301" t="inlineStr">
        <is>
          <t>VÄSTRA GÖTALANDS LÄN</t>
        </is>
      </c>
      <c r="G301" t="inlineStr">
        <is>
          <t>TIDAHOLM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46235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46235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46235</v>
      </c>
      <c r="F304" t="inlineStr">
        <is>
          <t>VÄSTRA GÖTALANDS LÄN</t>
        </is>
      </c>
      <c r="G304" t="inlineStr">
        <is>
          <t>TIDAHOLM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45041</v>
      </c>
      <c r="E305" s="1" t="n">
        <v>46235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46235</v>
      </c>
      <c r="F306" t="inlineStr">
        <is>
          <t>VÄSTRA GÖTALANDS LÄN</t>
        </is>
      </c>
      <c r="G306" t="inlineStr">
        <is>
          <t>TIDAHOLM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46235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46235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Kyrkan</t>
        </is>
      </c>
      <c r="I308" t="n">
        <v>22.5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46235</v>
      </c>
      <c r="F309" t="inlineStr">
        <is>
          <t>VÄSTRA GÖTALANDS LÄN</t>
        </is>
      </c>
      <c r="G309" t="inlineStr">
        <is>
          <t>TIDAHOLM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44610</v>
      </c>
      <c r="E310" s="1" t="n">
        <v>46235</v>
      </c>
      <c r="F310" t="inlineStr">
        <is>
          <t>VÄSTRA GÖTALANDS LÄN</t>
        </is>
      </c>
      <c r="G310" t="inlineStr">
        <is>
          <t>TIDAHOLM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46235</v>
      </c>
      <c r="F311" t="inlineStr">
        <is>
          <t>VÄSTRA GÖTALANDS LÄN</t>
        </is>
      </c>
      <c r="G311" t="inlineStr">
        <is>
          <t>TIDAHOLM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46235</v>
      </c>
      <c r="F312" t="inlineStr">
        <is>
          <t>VÄSTRA GÖTALANDS LÄN</t>
        </is>
      </c>
      <c r="G312" t="inlineStr">
        <is>
          <t>TIDAHOLM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45358</v>
      </c>
      <c r="E313" s="1" t="n">
        <v>46235</v>
      </c>
      <c r="F313" t="inlineStr">
        <is>
          <t>VÄSTRA GÖTALANDS LÄN</t>
        </is>
      </c>
      <c r="G313" t="inlineStr">
        <is>
          <t>TIDAHOLM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46235</v>
      </c>
      <c r="F314" t="inlineStr">
        <is>
          <t>VÄSTRA GÖTALANDS LÄN</t>
        </is>
      </c>
      <c r="G314" t="inlineStr">
        <is>
          <t>TIDAHOLM</t>
        </is>
      </c>
      <c r="I314" t="n">
        <v>16.2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46235</v>
      </c>
      <c r="F315" t="inlineStr">
        <is>
          <t>VÄSTRA GÖTALANDS LÄN</t>
        </is>
      </c>
      <c r="G315" t="inlineStr">
        <is>
          <t>TIDAHOLM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46235</v>
      </c>
      <c r="F316" t="inlineStr">
        <is>
          <t>VÄSTRA GÖTALANDS LÄN</t>
        </is>
      </c>
      <c r="G316" t="inlineStr">
        <is>
          <t>TIDAHOLM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46235</v>
      </c>
      <c r="F317" t="inlineStr">
        <is>
          <t>VÄSTRA GÖTALANDS LÄN</t>
        </is>
      </c>
      <c r="G317" t="inlineStr">
        <is>
          <t>TIDAHOLM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45672</v>
      </c>
      <c r="E318" s="1" t="n">
        <v>46235</v>
      </c>
      <c r="F318" t="inlineStr">
        <is>
          <t>VÄSTRA GÖTALANDS LÄN</t>
        </is>
      </c>
      <c r="G318" t="inlineStr">
        <is>
          <t>TIDAHOLM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46235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46235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19572-2022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46235</v>
      </c>
      <c r="F321" t="inlineStr">
        <is>
          <t>VÄSTRA GÖTALANDS LÄN</t>
        </is>
      </c>
      <c r="G321" t="inlineStr">
        <is>
          <t>TIDAHOLM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46235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46235</v>
      </c>
      <c r="F323" t="inlineStr">
        <is>
          <t>VÄSTRA GÖTALANDS LÄN</t>
        </is>
      </c>
      <c r="G323" t="inlineStr">
        <is>
          <t>TIDAHOLM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45637</v>
      </c>
      <c r="E324" s="1" t="n">
        <v>46235</v>
      </c>
      <c r="F324" t="inlineStr">
        <is>
          <t>VÄSTRA GÖTALANDS LÄN</t>
        </is>
      </c>
      <c r="G324" t="inlineStr">
        <is>
          <t>TIDAHOLM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44636</v>
      </c>
      <c r="E325" s="1" t="n">
        <v>46235</v>
      </c>
      <c r="F325" t="inlineStr">
        <is>
          <t>VÄSTRA GÖTALANDS LÄN</t>
        </is>
      </c>
      <c r="G325" t="inlineStr">
        <is>
          <t>TIDAHOLM</t>
        </is>
      </c>
      <c r="I325" t="n">
        <v>18.8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46235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46235</v>
      </c>
      <c r="F327" t="inlineStr">
        <is>
          <t>VÄSTRA GÖTALANDS LÄN</t>
        </is>
      </c>
      <c r="G327" t="inlineStr">
        <is>
          <t>TIDAHOLM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46235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46235</v>
      </c>
      <c r="F329" t="inlineStr">
        <is>
          <t>VÄSTRA GÖTALANDS LÄN</t>
        </is>
      </c>
      <c r="G329" t="inlineStr">
        <is>
          <t>TIDAHOLM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46235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44720</v>
      </c>
      <c r="E331" s="1" t="n">
        <v>46235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46235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44685</v>
      </c>
      <c r="E333" s="1" t="n">
        <v>46235</v>
      </c>
      <c r="F333" t="inlineStr">
        <is>
          <t>VÄSTRA GÖTALANDS LÄN</t>
        </is>
      </c>
      <c r="G333" t="inlineStr">
        <is>
          <t>TIDAHOLM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46123</v>
      </c>
      <c r="E334" s="1" t="n">
        <v>46235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45752</v>
      </c>
      <c r="E335" s="1" t="n">
        <v>46235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45779</v>
      </c>
      <c r="E336" s="1" t="n">
        <v>46235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44720</v>
      </c>
      <c r="E337" s="1" t="n">
        <v>46235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46235</v>
      </c>
      <c r="F338" t="inlineStr">
        <is>
          <t>VÄSTRA GÖTALANDS LÄN</t>
        </is>
      </c>
      <c r="G338" t="inlineStr">
        <is>
          <t>TIDAHOLM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46235</v>
      </c>
      <c r="F339" t="inlineStr">
        <is>
          <t>VÄSTRA GÖTALANDS LÄN</t>
        </is>
      </c>
      <c r="G339" t="inlineStr">
        <is>
          <t>TIDAHOLM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46235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45473</v>
      </c>
      <c r="E341" s="1" t="n">
        <v>46235</v>
      </c>
      <c r="F341" t="inlineStr">
        <is>
          <t>VÄSTRA GÖTALANDS LÄN</t>
        </is>
      </c>
      <c r="G341" t="inlineStr">
        <is>
          <t>TIDAHOLM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46235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46235</v>
      </c>
      <c r="F343" t="inlineStr">
        <is>
          <t>VÄSTRA GÖTALANDS LÄN</t>
        </is>
      </c>
      <c r="G343" t="inlineStr">
        <is>
          <t>TIDAHOLM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46131</v>
      </c>
      <c r="E344" s="1" t="n">
        <v>46235</v>
      </c>
      <c r="F344" t="inlineStr">
        <is>
          <t>VÄSTRA GÖTALANDS LÄN</t>
        </is>
      </c>
      <c r="G344" t="inlineStr">
        <is>
          <t>TIDAHOLM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35125-2024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46235</v>
      </c>
      <c r="F345" t="inlineStr">
        <is>
          <t>VÄSTRA GÖTALANDS LÄN</t>
        </is>
      </c>
      <c r="G345" t="inlineStr">
        <is>
          <t>TIDAHOLM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46235</v>
      </c>
      <c r="F346" t="inlineStr">
        <is>
          <t>VÄSTRA GÖTALANDS LÄN</t>
        </is>
      </c>
      <c r="G346" t="inlineStr">
        <is>
          <t>TIDAHOLM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46235</v>
      </c>
      <c r="F347" t="inlineStr">
        <is>
          <t>VÄSTRA GÖTALANDS LÄN</t>
        </is>
      </c>
      <c r="G347" t="inlineStr">
        <is>
          <t>TIDAHOLM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45336</v>
      </c>
      <c r="E348" s="1" t="n">
        <v>46235</v>
      </c>
      <c r="F348" t="inlineStr">
        <is>
          <t>VÄSTRA GÖTALANDS LÄN</t>
        </is>
      </c>
      <c r="G348" t="inlineStr">
        <is>
          <t>TIDAHOLM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37070-2022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44806</v>
      </c>
      <c r="E349" s="1" t="n">
        <v>46235</v>
      </c>
      <c r="F349" t="inlineStr">
        <is>
          <t>VÄSTRA GÖTALANDS LÄN</t>
        </is>
      </c>
      <c r="G349" t="inlineStr">
        <is>
          <t>TIDAHOLM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46235</v>
      </c>
      <c r="F350" t="inlineStr">
        <is>
          <t>VÄSTRA GÖTALANDS LÄN</t>
        </is>
      </c>
      <c r="G350" t="inlineStr">
        <is>
          <t>TIDAHOLM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45311</v>
      </c>
      <c r="E351" s="1" t="n">
        <v>46235</v>
      </c>
      <c r="F351" t="inlineStr">
        <is>
          <t>VÄSTRA GÖTALANDS LÄN</t>
        </is>
      </c>
      <c r="G351" t="inlineStr">
        <is>
          <t>TIDAHOLM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46235</v>
      </c>
      <c r="F352" t="inlineStr">
        <is>
          <t>VÄSTRA GÖTALANDS LÄN</t>
        </is>
      </c>
      <c r="G352" t="inlineStr">
        <is>
          <t>TIDAHOLM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46235</v>
      </c>
      <c r="F353" t="inlineStr">
        <is>
          <t>VÄSTRA GÖTALANDS LÄN</t>
        </is>
      </c>
      <c r="G353" t="inlineStr">
        <is>
          <t>TIDAHOLM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46235</v>
      </c>
      <c r="F354" t="inlineStr">
        <is>
          <t>VÄSTRA GÖTALANDS LÄN</t>
        </is>
      </c>
      <c r="G354" t="inlineStr">
        <is>
          <t>TIDAHOLM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46235</v>
      </c>
      <c r="F355" t="inlineStr">
        <is>
          <t>VÄSTRA GÖTALANDS LÄN</t>
        </is>
      </c>
      <c r="G355" t="inlineStr">
        <is>
          <t>TIDAHOLM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46235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45531</v>
      </c>
      <c r="E357" s="1" t="n">
        <v>46235</v>
      </c>
      <c r="F357" t="inlineStr">
        <is>
          <t>VÄSTRA GÖTALANDS LÄN</t>
        </is>
      </c>
      <c r="G357" t="inlineStr">
        <is>
          <t>TIDAHOLM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46235</v>
      </c>
      <c r="F358" t="inlineStr">
        <is>
          <t>VÄSTRA GÖTALANDS LÄN</t>
        </is>
      </c>
      <c r="G358" t="inlineStr">
        <is>
          <t>TIDAHOLM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46235</v>
      </c>
      <c r="F359" t="inlineStr">
        <is>
          <t>VÄSTRA GÖTALANDS LÄN</t>
        </is>
      </c>
      <c r="G359" t="inlineStr">
        <is>
          <t>TIDAHOLM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45680</v>
      </c>
      <c r="E360" s="1" t="n">
        <v>46235</v>
      </c>
      <c r="F360" t="inlineStr">
        <is>
          <t>VÄSTRA GÖTALANDS LÄN</t>
        </is>
      </c>
      <c r="G360" t="inlineStr">
        <is>
          <t>TIDAHOLM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46235</v>
      </c>
      <c r="F361" t="inlineStr">
        <is>
          <t>VÄSTRA GÖTALANDS LÄN</t>
        </is>
      </c>
      <c r="G361" t="inlineStr">
        <is>
          <t>TIDAHOLM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46235</v>
      </c>
      <c r="F362" t="inlineStr">
        <is>
          <t>VÄSTRA GÖTALANDS LÄN</t>
        </is>
      </c>
      <c r="G362" t="inlineStr">
        <is>
          <t>TIDAHOLM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44985</v>
      </c>
      <c r="E363" s="1" t="n">
        <v>46235</v>
      </c>
      <c r="F363" t="inlineStr">
        <is>
          <t>VÄSTRA GÖTALANDS LÄN</t>
        </is>
      </c>
      <c r="G363" t="inlineStr">
        <is>
          <t>TIDAHOLM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44907</v>
      </c>
      <c r="E364" s="1" t="n">
        <v>46235</v>
      </c>
      <c r="F364" t="inlineStr">
        <is>
          <t>VÄSTRA GÖTALANDS LÄN</t>
        </is>
      </c>
      <c r="G364" t="inlineStr">
        <is>
          <t>TIDAHOLM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57969-2022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46235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46235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73728-2021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44552</v>
      </c>
      <c r="E367" s="1" t="n">
        <v>46235</v>
      </c>
      <c r="F367" t="inlineStr">
        <is>
          <t>VÄSTRA GÖTALANDS LÄN</t>
        </is>
      </c>
      <c r="G367" t="inlineStr">
        <is>
          <t>TIDAHOLM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44501</v>
      </c>
      <c r="E368" s="1" t="n">
        <v>46235</v>
      </c>
      <c r="F368" t="inlineStr">
        <is>
          <t>VÄSTRA GÖTALANDS LÄN</t>
        </is>
      </c>
      <c r="G368" t="inlineStr">
        <is>
          <t>TIDAHOLM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44664</v>
      </c>
      <c r="E369" s="1" t="n">
        <v>46235</v>
      </c>
      <c r="F369" t="inlineStr">
        <is>
          <t>VÄSTRA GÖTALANDS LÄN</t>
        </is>
      </c>
      <c r="G369" t="inlineStr">
        <is>
          <t>TIDAHOLM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46235</v>
      </c>
      <c r="F370" t="inlineStr">
        <is>
          <t>VÄSTRA GÖTALANDS LÄN</t>
        </is>
      </c>
      <c r="G370" t="inlineStr">
        <is>
          <t>TIDAHOLM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46235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44997</v>
      </c>
      <c r="E372" s="1" t="n">
        <v>46235</v>
      </c>
      <c r="F372" t="inlineStr">
        <is>
          <t>VÄSTRA GÖTALANDS LÄN</t>
        </is>
      </c>
      <c r="G372" t="inlineStr">
        <is>
          <t>TIDAHOLM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46235</v>
      </c>
      <c r="F373" t="inlineStr">
        <is>
          <t>VÄSTRA GÖTALANDS LÄN</t>
        </is>
      </c>
      <c r="G373" t="inlineStr">
        <is>
          <t>TIDAHOLM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29182-2025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45821</v>
      </c>
      <c r="E374" s="1" t="n">
        <v>46235</v>
      </c>
      <c r="F374" t="inlineStr">
        <is>
          <t>VÄSTRA GÖTALANDS LÄN</t>
        </is>
      </c>
      <c r="G374" t="inlineStr">
        <is>
          <t>TIDAHOLM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46235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46235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46235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46235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46235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46235</v>
      </c>
      <c r="F380" t="inlineStr">
        <is>
          <t>VÄSTRA GÖTALANDS LÄN</t>
        </is>
      </c>
      <c r="G380" t="inlineStr">
        <is>
          <t>TIDAHOLM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46235</v>
      </c>
      <c r="F381" t="inlineStr">
        <is>
          <t>VÄSTRA GÖTALANDS LÄN</t>
        </is>
      </c>
      <c r="G381" t="inlineStr">
        <is>
          <t>TIDAHOLM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46235</v>
      </c>
      <c r="F382" t="inlineStr">
        <is>
          <t>VÄSTRA GÖTALANDS LÄN</t>
        </is>
      </c>
      <c r="G382" t="inlineStr">
        <is>
          <t>TIDAHOLM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46235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45669</v>
      </c>
      <c r="E384" s="1" t="n">
        <v>46235</v>
      </c>
      <c r="F384" t="inlineStr">
        <is>
          <t>VÄSTRA GÖTALANDS LÄN</t>
        </is>
      </c>
      <c r="G384" t="inlineStr">
        <is>
          <t>TIDAHOLM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45779</v>
      </c>
      <c r="E385" s="1" t="n">
        <v>46235</v>
      </c>
      <c r="F385" t="inlineStr">
        <is>
          <t>VÄSTRA GÖTALANDS LÄN</t>
        </is>
      </c>
      <c r="G385" t="inlineStr">
        <is>
          <t>TIDAHOLM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46235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46235</v>
      </c>
      <c r="F387" t="inlineStr">
        <is>
          <t>VÄSTRA GÖTALANDS LÄN</t>
        </is>
      </c>
      <c r="G387" t="inlineStr">
        <is>
          <t>TIDAHOLM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45855</v>
      </c>
      <c r="E388" s="1" t="n">
        <v>46235</v>
      </c>
      <c r="F388" t="inlineStr">
        <is>
          <t>VÄSTRA GÖTALANDS LÄN</t>
        </is>
      </c>
      <c r="G388" t="inlineStr">
        <is>
          <t>TIDAHOLM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45473</v>
      </c>
      <c r="E389" s="1" t="n">
        <v>46235</v>
      </c>
      <c r="F389" t="inlineStr">
        <is>
          <t>VÄSTRA GÖTALANDS LÄN</t>
        </is>
      </c>
      <c r="G389" t="inlineStr">
        <is>
          <t>TIDAHOLM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45854</v>
      </c>
      <c r="E390" s="1" t="n">
        <v>46235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46235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46235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Allmännings- och besparingsskogar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46235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46235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46235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46235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2026-08-01T01:47:45Z</dcterms:created>
  <dcterms:modified xmlns:dcterms="http://purl.org/dc/terms/" xmlns:xsi="http://www.w3.org/2001/XMLSchema-instance" xsi:type="dcterms:W3CDTF">2026-08-01T01:47:46Z</dcterms:modified>
</cp:coreProperties>
</file>